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>
    <definedName name="_xlnm.Print_Titles" localSheetId="0">'Resumen'!$1:$1</definedName>
    <definedName name="_xlnm.Print_Area" localSheetId="0">'Resumen'!$A$1:$B$16</definedName>
    <definedName name="_xlnm._FilterDatabase" localSheetId="1" hidden="1">'Detalle'!$A$1:$G$13</definedName>
    <definedName name="_xlnm.Print_Titles" localSheetId="1">'Detalle'!$1:$1</definedName>
    <definedName name="_xlnm.Print_Area" localSheetId="1">'Detalle'!$A$1:$I$18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&quot;COP &quot;#,##0;[Red]-&quot;COP &quot;#,##0"/>
  </numFmts>
  <fonts count="3">
    <font>
      <name val="Calibri"/>
      <family val="2"/>
      <color theme="1"/>
      <sz val="11"/>
      <scheme val="minor"/>
    </font>
    <font>
      <name val="Aptos"/>
      <color rgb="00243746"/>
      <sz val="11"/>
    </font>
    <font>
      <name val="Aptos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9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0" customWidth="1" min="1" max="1"/>
    <col width="28" customWidth="1" min="2" max="2"/>
  </cols>
  <sheetData>
    <row r="1" ht="42" customHeight="1">
      <c r="A1" s="1" t="inlineStr">
        <is>
          <t>Concepto</t>
        </is>
      </c>
      <c r="B1" s="1" t="inlineStr">
        <is>
          <t>Valor COP</t>
        </is>
      </c>
    </row>
    <row r="2" ht="42" customHeight="1">
      <c r="A2" s="2" t="inlineStr">
        <is>
          <t>Talento humano</t>
        </is>
      </c>
      <c r="B2" s="3">
        <f>SUM(Detalle!E2:E4)</f>
        <v/>
      </c>
    </row>
    <row r="3" ht="42" customHeight="1">
      <c r="A3" s="2" t="inlineStr">
        <is>
          <t>Hardware</t>
        </is>
      </c>
      <c r="B3" s="3">
        <f>SUM(Detalle!E5:E5)</f>
        <v/>
      </c>
    </row>
    <row r="4" ht="42" customHeight="1">
      <c r="A4" s="2" t="inlineStr">
        <is>
          <t>Software</t>
        </is>
      </c>
      <c r="B4" s="3">
        <f>SUM(Detalle!E6:E11)</f>
        <v/>
      </c>
    </row>
    <row r="5" ht="42" customHeight="1">
      <c r="A5" s="2" t="inlineStr">
        <is>
          <t>Servicios</t>
        </is>
      </c>
      <c r="B5" s="3">
        <f>SUM(Detalle!E12:E13)</f>
        <v/>
      </c>
    </row>
    <row r="6" ht="42" customHeight="1">
      <c r="A6" s="2" t="inlineStr">
        <is>
          <t>Costo directo</t>
        </is>
      </c>
      <c r="B6" s="3">
        <f>SUM(B2:B5)</f>
        <v/>
      </c>
    </row>
    <row r="7" ht="42" customHeight="1">
      <c r="A7" s="2" t="inlineStr">
        <is>
          <t>Tasa de imprevistos</t>
        </is>
      </c>
      <c r="B7" s="4" t="n">
        <v>0.1</v>
      </c>
    </row>
    <row r="8" ht="42" customHeight="1">
      <c r="A8" s="2" t="inlineStr">
        <is>
          <t>Reserva de imprevistos</t>
        </is>
      </c>
      <c r="B8" s="3">
        <f>B6*B7</f>
        <v/>
      </c>
    </row>
    <row r="9" ht="42" customHeight="1">
      <c r="A9" s="2" t="inlineStr">
        <is>
          <t>Presupuesto total</t>
        </is>
      </c>
      <c r="B9" s="3">
        <f>SUM(B6,B8)</f>
        <v/>
      </c>
    </row>
    <row r="10" ht="42" customHeight="1">
      <c r="A10" s="2" t="n"/>
      <c r="B10" s="2" t="n"/>
    </row>
    <row r="11" ht="42" customHeight="1">
      <c r="A11" s="2" t="n"/>
      <c r="B11" s="2" t="n"/>
    </row>
    <row r="12" ht="42" customHeight="1">
      <c r="A12" s="2" t="inlineStr">
        <is>
          <t>Horizonte: Semana 1 a Semana 14. Moneda: pesos colombianos (COP).</t>
        </is>
      </c>
      <c r="B12" s="2" t="n"/>
    </row>
    <row r="13" ht="42" customHeight="1">
      <c r="A13" s="2" t="inlineStr">
        <is>
          <t>Presupuesto económico académico: valora esfuerzo y recursos imputados al proyecto.</t>
        </is>
      </c>
      <c r="B13" s="2" t="n"/>
    </row>
    <row r="14" ht="42" customHeight="1">
      <c r="A14" s="2" t="inlineStr">
        <is>
          <t>No implica contratación, facturación ni desembolso equivalente al total.</t>
        </is>
      </c>
      <c r="B14" s="2" t="n"/>
    </row>
    <row r="15" ht="42" customHeight="1">
      <c r="A15" s="2" t="inlineStr">
        <is>
          <t>Reserva del 10 % sobre costos directos; su uso requiere aprobación del gerente.</t>
        </is>
      </c>
      <c r="B15" s="2" t="n"/>
    </row>
    <row r="16" ht="42" customHeight="1">
      <c r="A16" s="2" t="inlineStr">
        <is>
          <t>Software libre o ediciones gratuitas: revisar los términos de cada herramienta.</t>
        </is>
      </c>
      <c r="B16" s="2" t="n"/>
    </row>
  </sheetData>
  <mergeCells count="5">
    <mergeCell ref="A16:B16"/>
    <mergeCell ref="A15:B15"/>
    <mergeCell ref="A13:B13"/>
    <mergeCell ref="A14:B14"/>
    <mergeCell ref="A12:B1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22" customWidth="1" min="4" max="4"/>
    <col width="22" customWidth="1" min="5" max="5"/>
    <col width="14" customWidth="1" min="6" max="6"/>
    <col width="62" customWidth="1" min="7" max="7"/>
    <col width="34" customWidth="1" min="8" max="8"/>
    <col width="18" customWidth="1" min="9" max="9"/>
  </cols>
  <sheetData>
    <row r="1" ht="42" customHeight="1">
      <c r="A1" s="1" t="inlineStr">
        <is>
          <t>Categoría</t>
        </is>
      </c>
      <c r="B1" s="1" t="inlineStr">
        <is>
          <t>Concepto</t>
        </is>
      </c>
      <c r="C1" s="1" t="inlineStr">
        <is>
          <t>Cantidad</t>
        </is>
      </c>
      <c r="D1" s="1" t="inlineStr">
        <is>
          <t>Valor unitario COP</t>
        </is>
      </c>
      <c r="E1" s="1" t="inlineStr">
        <is>
          <t>Subtotal COP</t>
        </is>
      </c>
      <c r="F1" s="1" t="inlineStr">
        <is>
          <t>Unidad</t>
        </is>
      </c>
      <c r="G1" s="1" t="inlineStr">
        <is>
          <t>Justificación</t>
        </is>
      </c>
      <c r="H1" s="1" t="inlineStr">
        <is>
          <t>Supuesto de depreciación</t>
        </is>
      </c>
      <c r="I1" s="1" t="inlineStr">
        <is>
          <t>Valor</t>
        </is>
      </c>
    </row>
    <row r="2" ht="42" customHeight="1">
      <c r="A2" s="2" t="inlineStr">
        <is>
          <t>Talento humano</t>
        </is>
      </c>
      <c r="B2" s="2" t="inlineStr">
        <is>
          <t>Juan David Polo Herrera — Gerente del proyecto y DBA</t>
        </is>
      </c>
      <c r="C2" s="2" t="n">
        <v>153</v>
      </c>
      <c r="D2" s="3" t="n">
        <v>25000</v>
      </c>
      <c r="E2" s="3">
        <f>C2*D2</f>
        <v/>
      </c>
      <c r="F2" s="2" t="inlineStr">
        <is>
          <t>hora</t>
        </is>
      </c>
      <c r="G2" s="2" t="inlineStr">
        <is>
          <t>Perfil estudiante/junior; tarifa académica estimada.</t>
        </is>
      </c>
      <c r="H2" s="2" t="inlineStr">
        <is>
          <t>Costo de origen por portátil (COP)</t>
        </is>
      </c>
      <c r="I2" s="3" t="n">
        <v>3120000</v>
      </c>
    </row>
    <row r="3" ht="42" customHeight="1">
      <c r="A3" s="2" t="inlineStr">
        <is>
          <t>Talento humano</t>
        </is>
      </c>
      <c r="B3" s="2" t="inlineStr">
        <is>
          <t>Sebastián Castellanos Parra — Analista y modelador de datos</t>
        </is>
      </c>
      <c r="C3" s="2" t="n">
        <v>136</v>
      </c>
      <c r="D3" s="3" t="n">
        <v>22000</v>
      </c>
      <c r="E3" s="3">
        <f>C3*D3</f>
        <v/>
      </c>
      <c r="F3" s="2" t="inlineStr">
        <is>
          <t>hora</t>
        </is>
      </c>
      <c r="G3" s="2" t="inlineStr">
        <is>
          <t>Perfil estudiante/junior; tarifa académica estimada.</t>
        </is>
      </c>
      <c r="H3" s="2" t="inlineStr">
        <is>
          <t>Valor residual por portátil (COP)</t>
        </is>
      </c>
      <c r="I3" s="3" t="n">
        <v>0</v>
      </c>
    </row>
    <row r="4" ht="42" customHeight="1">
      <c r="A4" s="2" t="inlineStr">
        <is>
          <t>Talento humano</t>
        </is>
      </c>
      <c r="B4" s="2" t="inlineStr">
        <is>
          <t>Juan Miguel Ramos — Desarrollador web e infraestructura</t>
        </is>
      </c>
      <c r="C4" s="2" t="n">
        <v>96</v>
      </c>
      <c r="D4" s="3" t="n">
        <v>24000</v>
      </c>
      <c r="E4" s="3">
        <f>C4*D4</f>
        <v/>
      </c>
      <c r="F4" s="2" t="inlineStr">
        <is>
          <t>hora</t>
        </is>
      </c>
      <c r="G4" s="2" t="inlineStr">
        <is>
          <t>Perfil estudiante/junior; tarifa académica estimada.</t>
        </is>
      </c>
      <c r="H4" s="2" t="inlineStr">
        <is>
          <t>Vida útil (semanas)</t>
        </is>
      </c>
      <c r="I4" s="2" t="n">
        <v>156</v>
      </c>
    </row>
    <row r="5" ht="42" customHeight="1">
      <c r="A5" s="2" t="inlineStr">
        <is>
          <t>Hardware</t>
        </is>
      </c>
      <c r="B5" s="2" t="inlineStr">
        <is>
          <t>Depreciación de tres portátiles</t>
        </is>
      </c>
      <c r="C5" s="2" t="n">
        <v>3</v>
      </c>
      <c r="D5" s="3">
        <f>(I2-I3)/I4*I5</f>
        <v/>
      </c>
      <c r="E5" s="3">
        <f>C5*D5</f>
        <v/>
      </c>
      <c r="F5" s="2" t="inlineStr">
        <is>
          <t>portátil</t>
        </is>
      </c>
      <c r="G5" s="2" t="inlineStr">
        <is>
          <t>Depreciación lineal; sin compra de equipos nuevos.</t>
        </is>
      </c>
      <c r="H5" s="2" t="inlineStr">
        <is>
          <t>Uso en el proyecto (semanas)</t>
        </is>
      </c>
      <c r="I5" s="2" t="n">
        <v>14</v>
      </c>
    </row>
    <row r="6" ht="42" customHeight="1">
      <c r="A6" s="2" t="inlineStr">
        <is>
          <t>Software</t>
        </is>
      </c>
      <c r="B6" s="2" t="inlineStr">
        <is>
          <t>Oracle Linux</t>
        </is>
      </c>
      <c r="C6" s="2" t="n">
        <v>1</v>
      </c>
      <c r="D6" s="3" t="n">
        <v>0</v>
      </c>
      <c r="E6" s="3">
        <f>C6*D6</f>
        <v/>
      </c>
      <c r="F6" s="2" t="inlineStr">
        <is>
          <t>herramienta</t>
        </is>
      </c>
      <c r="G6" s="2" t="inlineStr">
        <is>
          <t>Licencia libre o edición gratuita, sujeta a sus términos; sin compra de licencias.</t>
        </is>
      </c>
      <c r="H6" s="2" t="n"/>
      <c r="I6" s="2" t="n"/>
    </row>
    <row r="7" ht="42" customHeight="1">
      <c r="A7" s="2" t="inlineStr">
        <is>
          <t>Software</t>
        </is>
      </c>
      <c r="B7" s="2" t="inlineStr">
        <is>
          <t>Oracle AI Database 26ai Free</t>
        </is>
      </c>
      <c r="C7" s="2" t="n">
        <v>1</v>
      </c>
      <c r="D7" s="3" t="n">
        <v>0</v>
      </c>
      <c r="E7" s="3">
        <f>C7*D7</f>
        <v/>
      </c>
      <c r="F7" s="2" t="inlineStr">
        <is>
          <t>herramienta</t>
        </is>
      </c>
      <c r="G7" s="2" t="inlineStr">
        <is>
          <t>Licencia libre o edición gratuita, sujeta a sus términos; sin compra de licencias.</t>
        </is>
      </c>
      <c r="H7" s="2" t="n"/>
      <c r="I7" s="2" t="n"/>
    </row>
    <row r="8" ht="42" customHeight="1">
      <c r="A8" s="2" t="inlineStr">
        <is>
          <t>Software</t>
        </is>
      </c>
      <c r="B8" s="2" t="inlineStr">
        <is>
          <t>Lima</t>
        </is>
      </c>
      <c r="C8" s="2" t="n">
        <v>1</v>
      </c>
      <c r="D8" s="3" t="n">
        <v>0</v>
      </c>
      <c r="E8" s="3">
        <f>C8*D8</f>
        <v/>
      </c>
      <c r="F8" s="2" t="inlineStr">
        <is>
          <t>herramienta</t>
        </is>
      </c>
      <c r="G8" s="2" t="inlineStr">
        <is>
          <t>Licencia libre o edición gratuita, sujeta a sus términos; sin compra de licencias.</t>
        </is>
      </c>
      <c r="H8" s="2" t="n"/>
      <c r="I8" s="2" t="n"/>
    </row>
    <row r="9" ht="42" customHeight="1">
      <c r="A9" s="2" t="inlineStr">
        <is>
          <t>Software</t>
        </is>
      </c>
      <c r="B9" s="2" t="inlineStr">
        <is>
          <t>Python/Flask</t>
        </is>
      </c>
      <c r="C9" s="2" t="n">
        <v>1</v>
      </c>
      <c r="D9" s="3" t="n">
        <v>0</v>
      </c>
      <c r="E9" s="3">
        <f>C9*D9</f>
        <v/>
      </c>
      <c r="F9" s="2" t="inlineStr">
        <is>
          <t>herramienta</t>
        </is>
      </c>
      <c r="G9" s="2" t="inlineStr">
        <is>
          <t>Licencia libre o edición gratuita, sujeta a sus términos; sin compra de licencias.</t>
        </is>
      </c>
      <c r="H9" s="2" t="n"/>
      <c r="I9" s="2" t="n"/>
    </row>
    <row r="10" ht="42" customHeight="1">
      <c r="A10" s="2" t="inlineStr">
        <is>
          <t>Software</t>
        </is>
      </c>
      <c r="B10" s="2" t="inlineStr">
        <is>
          <t>Git/GitHub Free</t>
        </is>
      </c>
      <c r="C10" s="2" t="n">
        <v>1</v>
      </c>
      <c r="D10" s="3" t="n">
        <v>0</v>
      </c>
      <c r="E10" s="3">
        <f>C10*D10</f>
        <v/>
      </c>
      <c r="F10" s="2" t="inlineStr">
        <is>
          <t>herramienta</t>
        </is>
      </c>
      <c r="G10" s="2" t="inlineStr">
        <is>
          <t>Licencia libre o edición gratuita, sujeta a sus términos; sin compra de licencias.</t>
        </is>
      </c>
      <c r="H10" s="2" t="n"/>
      <c r="I10" s="2" t="n"/>
    </row>
    <row r="11" ht="42" customHeight="1">
      <c r="A11" s="2" t="inlineStr">
        <is>
          <t>Software</t>
        </is>
      </c>
      <c r="B11" s="2" t="inlineStr">
        <is>
          <t>Oracle SQL Developer Data Modeler</t>
        </is>
      </c>
      <c r="C11" s="2" t="n">
        <v>1</v>
      </c>
      <c r="D11" s="3" t="n">
        <v>0</v>
      </c>
      <c r="E11" s="3">
        <f>C11*D11</f>
        <v/>
      </c>
      <c r="F11" s="2" t="inlineStr">
        <is>
          <t>herramienta</t>
        </is>
      </c>
      <c r="G11" s="2" t="inlineStr">
        <is>
          <t>Licencia libre o edición gratuita, sujeta a sus términos; sin compra de licencias.</t>
        </is>
      </c>
      <c r="H11" s="2" t="n"/>
      <c r="I11" s="2" t="n"/>
    </row>
    <row r="12" ht="42" customHeight="1">
      <c r="A12" s="2" t="inlineStr">
        <is>
          <t>Servicios</t>
        </is>
      </c>
      <c r="B12" s="2" t="inlineStr">
        <is>
          <t>Internet</t>
        </is>
      </c>
      <c r="C12" s="2" t="n">
        <v>14</v>
      </c>
      <c r="D12" s="3" t="n">
        <v>30000</v>
      </c>
      <c r="E12" s="3">
        <f>C12*D12</f>
        <v/>
      </c>
      <c r="F12" s="2" t="inlineStr">
        <is>
          <t>semana</t>
        </is>
      </c>
      <c r="G12" s="2" t="inlineStr">
        <is>
          <t>Imputación proporcional de conectividad del equipo.</t>
        </is>
      </c>
      <c r="H12" s="2" t="n"/>
      <c r="I12" s="2" t="n"/>
    </row>
    <row r="13" ht="42" customHeight="1">
      <c r="A13" s="2" t="inlineStr">
        <is>
          <t>Servicios</t>
        </is>
      </c>
      <c r="B13" s="2" t="inlineStr">
        <is>
          <t>Energía eléctrica</t>
        </is>
      </c>
      <c r="C13" s="2" t="n">
        <v>14</v>
      </c>
      <c r="D13" s="3" t="n">
        <v>12000</v>
      </c>
      <c r="E13" s="3">
        <f>C13*D13</f>
        <v/>
      </c>
      <c r="F13" s="2" t="inlineStr">
        <is>
          <t>semana</t>
        </is>
      </c>
      <c r="G13" s="2" t="inlineStr">
        <is>
          <t>Imputación estimada del uso de los equipos y de la VM.</t>
        </is>
      </c>
      <c r="H13" s="2" t="n"/>
      <c r="I13" s="2" t="n"/>
    </row>
    <row r="14" ht="42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42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42" customHeight="1">
      <c r="A16" s="2" t="inlineStr">
        <is>
          <t>Método: (costo de origen − valor residual) / vida útil × semanas de uso.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42" customHeight="1">
      <c r="A17" s="2" t="inlineStr">
        <is>
          <t>Se imputa el desgaste de equipos existentes, sin desembolso por adquisición.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42" customHeight="1">
      <c r="A18" s="2" t="inlineStr">
        <is>
          <t>Las tarifas son supuestos académicos; no constituyen cotizaciones ni pagos laborales.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</sheetData>
  <autoFilter ref="A1:G13"/>
  <mergeCells count="3">
    <mergeCell ref="A17:I17"/>
    <mergeCell ref="A18:I18"/>
    <mergeCell ref="A16:I16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2026-10-19T23:29:32Z</dcterms:created>
  <dcterms:modified xmlns:dcterms="http://purl.org/dc/terms/" xmlns:xsi="http://www.w3.org/2001/XMLSchema-instance" xsi:type="dcterms:W3CDTF">2026-10-19T23:29:32Z</dcterms:modified>
</cp:coreProperties>
</file>