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Gantt" sheetId="2" state="visible" r:id="rId2"/>
  </sheets>
  <definedNames>
    <definedName name="_xlnm._FilterDatabase" localSheetId="0" hidden="1">'Tareas'!$A$1:$H$26</definedName>
    <definedName name="_xlnm.Print_Titles" localSheetId="0">'Tareas'!$1:$1</definedName>
    <definedName name="_xlnm.Print_Area" localSheetId="0">'Tareas'!$A$1:$H$27</definedName>
    <definedName name="_xlnm._FilterDatabase" localSheetId="1" hidden="1">'Gantt'!$A$1:$P$26</definedName>
    <definedName name="_xlnm.Print_Titles" localSheetId="1">'Gantt'!$1:$1</definedName>
    <definedName name="_xlnm.Print_Area" localSheetId="1">'Gantt'!$A$1:$P$30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263238"/>
      <sz val="10"/>
    </font>
    <font>
      <name val="Calibri"/>
      <b val="1"/>
      <color rgb="00FFFFFF"/>
      <sz val="1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34E70"/>
      </patternFill>
    </fill>
    <fill>
      <patternFill patternType="solid">
        <fgColor rgb="00EFF4F8"/>
      </patternFill>
    </fill>
    <fill>
      <patternFill patternType="solid">
        <fgColor rgb="00336699"/>
      </patternFill>
    </fill>
    <fill>
      <patternFill patternType="solid">
        <fgColor rgb="0039836B"/>
      </patternFill>
    </fill>
    <fill>
      <patternFill patternType="solid">
        <fgColor rgb="00C77B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00FFFFFF"/>
      </font>
      <fill>
        <patternFill patternType="solid">
          <fgColor rgb="00336699"/>
        </patternFill>
      </fill>
    </dxf>
    <dxf>
      <font>
        <b val="1"/>
        <color rgb="00A13B32"/>
        <sz val="16"/>
      </font>
    </dxf>
    <dxf>
      <font>
        <color rgb="00FFFFFF"/>
      </font>
      <fill>
        <patternFill patternType="solid">
          <fgColor rgb="0039836B"/>
        </patternFill>
      </fill>
    </dxf>
    <dxf>
      <font>
        <color rgb="00FFFFFF"/>
      </font>
      <fill>
        <patternFill patternType="solid">
          <fgColor rgb="00C77B2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31" customWidth="1" min="3" max="3"/>
    <col width="13" customWidth="1" min="4" max="4"/>
    <col width="13" customWidth="1" min="5" max="5"/>
    <col width="15" customWidth="1" min="6" max="6"/>
    <col width="14" customWidth="1" min="7" max="7"/>
    <col width="26" customWidth="1" min="8" max="8"/>
  </cols>
  <sheetData>
    <row r="1" ht="34" customHeight="1">
      <c r="A1" s="1" t="inlineStr">
        <is>
          <t>ID EDT</t>
        </is>
      </c>
      <c r="B1" s="1" t="inlineStr">
        <is>
          <t>Actividad</t>
        </is>
      </c>
      <c r="C1" s="1" t="inlineStr">
        <is>
          <t>Responsable</t>
        </is>
      </c>
      <c r="D1" s="1" t="inlineStr">
        <is>
          <t>Semana inicio</t>
        </is>
      </c>
      <c r="E1" s="1" t="inlineStr">
        <is>
          <t>Semana fin</t>
        </is>
      </c>
      <c r="F1" s="1" t="inlineStr">
        <is>
          <t>Duración en semanas</t>
        </is>
      </c>
      <c r="G1" s="1" t="inlineStr">
        <is>
          <t>Horas estimadas</t>
        </is>
      </c>
      <c r="H1" s="1" t="inlineStr">
        <is>
          <t>Predecesora</t>
        </is>
      </c>
    </row>
    <row r="2" ht="30" customHeight="1">
      <c r="A2" s="2" t="inlineStr">
        <is>
          <t>1.1.1</t>
        </is>
      </c>
      <c r="B2" s="2" t="inlineStr">
        <is>
          <t>Acta de constitución</t>
        </is>
      </c>
      <c r="C2" s="2" t="inlineStr">
        <is>
          <t>Juan David Polo Herrera</t>
        </is>
      </c>
      <c r="D2" s="2" t="n">
        <v>1</v>
      </c>
      <c r="E2" s="2" t="n">
        <v>1</v>
      </c>
      <c r="F2" s="2">
        <f>E2-D2+1</f>
        <v/>
      </c>
      <c r="G2" s="2" t="n">
        <v>12</v>
      </c>
      <c r="H2" s="2" t="inlineStr"/>
    </row>
    <row r="3" ht="30" customHeight="1">
      <c r="A3" s="3" t="inlineStr">
        <is>
          <t>1.1.2</t>
        </is>
      </c>
      <c r="B3" s="3" t="inlineStr">
        <is>
          <t>Identificación de interesados</t>
        </is>
      </c>
      <c r="C3" s="3" t="inlineStr">
        <is>
          <t>Sebastián Castellanos Parra</t>
        </is>
      </c>
      <c r="D3" s="3" t="n">
        <v>1</v>
      </c>
      <c r="E3" s="3" t="n">
        <v>2</v>
      </c>
      <c r="F3" s="3">
        <f>E3-D3+1</f>
        <v/>
      </c>
      <c r="G3" s="3" t="n">
        <v>12</v>
      </c>
      <c r="H3" s="3" t="inlineStr"/>
    </row>
    <row r="4" ht="30" customHeight="1">
      <c r="A4" s="2" t="inlineStr">
        <is>
          <t>1.1.3</t>
        </is>
      </c>
      <c r="B4" s="2" t="inlineStr">
        <is>
          <t>Seguimiento del proyecto</t>
        </is>
      </c>
      <c r="C4" s="2" t="inlineStr">
        <is>
          <t>Juan David Polo Herrera</t>
        </is>
      </c>
      <c r="D4" s="2" t="n">
        <v>1</v>
      </c>
      <c r="E4" s="2" t="n">
        <v>14</v>
      </c>
      <c r="F4" s="2">
        <f>E4-D4+1</f>
        <v/>
      </c>
      <c r="G4" s="2" t="n">
        <v>28</v>
      </c>
      <c r="H4" s="2" t="inlineStr"/>
    </row>
    <row r="5" ht="30" customHeight="1">
      <c r="A5" s="3" t="inlineStr">
        <is>
          <t>1.2.1</t>
        </is>
      </c>
      <c r="B5" s="3" t="inlineStr">
        <is>
          <t>Propuesta del proyecto</t>
        </is>
      </c>
      <c r="C5" s="3" t="inlineStr">
        <is>
          <t>Sebastián Castellanos Parra</t>
        </is>
      </c>
      <c r="D5" s="3" t="n">
        <v>1</v>
      </c>
      <c r="E5" s="3" t="n">
        <v>1</v>
      </c>
      <c r="F5" s="3">
        <f>E5-D5+1</f>
        <v/>
      </c>
      <c r="G5" s="3" t="n">
        <v>12</v>
      </c>
      <c r="H5" s="3" t="inlineStr"/>
    </row>
    <row r="6" ht="30" customHeight="1">
      <c r="A6" s="2" t="inlineStr">
        <is>
          <t>1.2.2</t>
        </is>
      </c>
      <c r="B6" s="2" t="inlineStr">
        <is>
          <t>Documento de supuestos</t>
        </is>
      </c>
      <c r="C6" s="2" t="inlineStr">
        <is>
          <t>Sebastián Castellanos Parra</t>
        </is>
      </c>
      <c r="D6" s="2" t="n">
        <v>2</v>
      </c>
      <c r="E6" s="2" t="n">
        <v>2</v>
      </c>
      <c r="F6" s="2">
        <f>E6-D6+1</f>
        <v/>
      </c>
      <c r="G6" s="2" t="n">
        <v>12</v>
      </c>
      <c r="H6" s="2" t="inlineStr">
        <is>
          <t>1.2.1</t>
        </is>
      </c>
    </row>
    <row r="7" ht="30" customHeight="1">
      <c r="A7" s="3" t="inlineStr">
        <is>
          <t>1.2.3</t>
        </is>
      </c>
      <c r="B7" s="3" t="inlineStr">
        <is>
          <t>MER Peter Chen</t>
        </is>
      </c>
      <c r="C7" s="3" t="inlineStr">
        <is>
          <t>Sebastián Castellanos Parra</t>
        </is>
      </c>
      <c r="D7" s="3" t="n">
        <v>3</v>
      </c>
      <c r="E7" s="3" t="n">
        <v>3</v>
      </c>
      <c r="F7" s="3">
        <f>E7-D7+1</f>
        <v/>
      </c>
      <c r="G7" s="3" t="n">
        <v>32</v>
      </c>
      <c r="H7" s="3" t="inlineStr">
        <is>
          <t>1.2.2</t>
        </is>
      </c>
    </row>
    <row r="8" ht="30" customHeight="1">
      <c r="A8" s="2" t="inlineStr">
        <is>
          <t>1.2.4</t>
        </is>
      </c>
      <c r="B8" s="2" t="inlineStr">
        <is>
          <t>MER Extendido</t>
        </is>
      </c>
      <c r="C8" s="2" t="inlineStr">
        <is>
          <t>Sebastián Castellanos Parra</t>
        </is>
      </c>
      <c r="D8" s="2" t="n">
        <v>4</v>
      </c>
      <c r="E8" s="2" t="n">
        <v>4</v>
      </c>
      <c r="F8" s="2">
        <f>E8-D8+1</f>
        <v/>
      </c>
      <c r="G8" s="2" t="n">
        <v>24</v>
      </c>
      <c r="H8" s="2" t="inlineStr">
        <is>
          <t>1.2.3</t>
        </is>
      </c>
    </row>
    <row r="9" ht="30" customHeight="1">
      <c r="A9" s="3" t="inlineStr">
        <is>
          <t>1.2.5</t>
        </is>
      </c>
      <c r="B9" s="3" t="inlineStr">
        <is>
          <t>MER Barker / Crow’s Foot</t>
        </is>
      </c>
      <c r="C9" s="3" t="inlineStr">
        <is>
          <t>Sebastián Castellanos Parra</t>
        </is>
      </c>
      <c r="D9" s="3" t="n">
        <v>5</v>
      </c>
      <c r="E9" s="3" t="n">
        <v>5</v>
      </c>
      <c r="F9" s="3">
        <f>E9-D9+1</f>
        <v/>
      </c>
      <c r="G9" s="3" t="n">
        <v>20</v>
      </c>
      <c r="H9" s="3" t="inlineStr">
        <is>
          <t>1.2.4</t>
        </is>
      </c>
    </row>
    <row r="10" ht="30" customHeight="1">
      <c r="A10" s="2" t="inlineStr">
        <is>
          <t>1.2.6</t>
        </is>
      </c>
      <c r="B10" s="2" t="inlineStr">
        <is>
          <t>Modelo relacional</t>
        </is>
      </c>
      <c r="C10" s="2" t="inlineStr">
        <is>
          <t>Juan David Polo Herrera</t>
        </is>
      </c>
      <c r="D10" s="2" t="n">
        <v>6</v>
      </c>
      <c r="E10" s="2" t="n">
        <v>6</v>
      </c>
      <c r="F10" s="2">
        <f>E10-D10+1</f>
        <v/>
      </c>
      <c r="G10" s="2" t="n">
        <v>24</v>
      </c>
      <c r="H10" s="2" t="inlineStr">
        <is>
          <t>1.2.5</t>
        </is>
      </c>
    </row>
    <row r="11" ht="30" customHeight="1">
      <c r="A11" s="3" t="inlineStr">
        <is>
          <t>1.2.7</t>
        </is>
      </c>
      <c r="B11" s="3" t="inlineStr">
        <is>
          <t>Normalización hasta 3FN</t>
        </is>
      </c>
      <c r="C11" s="3" t="inlineStr">
        <is>
          <t>Juan David Polo Herrera</t>
        </is>
      </c>
      <c r="D11" s="3" t="n">
        <v>7</v>
      </c>
      <c r="E11" s="3" t="n">
        <v>7</v>
      </c>
      <c r="F11" s="3">
        <f>E11-D11+1</f>
        <v/>
      </c>
      <c r="G11" s="3" t="n">
        <v>16</v>
      </c>
      <c r="H11" s="3" t="inlineStr">
        <is>
          <t>1.2.6</t>
        </is>
      </c>
    </row>
    <row r="12" ht="30" customHeight="1">
      <c r="A12" s="2" t="inlineStr">
        <is>
          <t>1.2.8</t>
        </is>
      </c>
      <c r="B12" s="2" t="inlineStr">
        <is>
          <t>Diccionario de datos</t>
        </is>
      </c>
      <c r="C12" s="2" t="inlineStr">
        <is>
          <t>Sebastián Castellanos Parra</t>
        </is>
      </c>
      <c r="D12" s="2" t="n">
        <v>8</v>
      </c>
      <c r="E12" s="2" t="n">
        <v>8</v>
      </c>
      <c r="F12" s="2">
        <f>E12-D12+1</f>
        <v/>
      </c>
      <c r="G12" s="2" t="n">
        <v>16</v>
      </c>
      <c r="H12" s="2" t="inlineStr">
        <is>
          <t>1.2.7</t>
        </is>
      </c>
    </row>
    <row r="13" ht="30" customHeight="1">
      <c r="A13" s="3" t="inlineStr">
        <is>
          <t>1.2.9</t>
        </is>
      </c>
      <c r="B13" s="3" t="inlineStr">
        <is>
          <t>Álgebra relacional: 55 ejercicios</t>
        </is>
      </c>
      <c r="C13" s="3" t="inlineStr">
        <is>
          <t>Juan Miguel Ramos</t>
        </is>
      </c>
      <c r="D13" s="3" t="n">
        <v>7</v>
      </c>
      <c r="E13" s="3" t="n">
        <v>8</v>
      </c>
      <c r="F13" s="3">
        <f>E13-D13+1</f>
        <v/>
      </c>
      <c r="G13" s="3" t="n">
        <v>40</v>
      </c>
      <c r="H13" s="3" t="inlineStr">
        <is>
          <t>1.2.6</t>
        </is>
      </c>
    </row>
    <row r="14" ht="30" customHeight="1">
      <c r="A14" s="2" t="inlineStr">
        <is>
          <t>H1</t>
        </is>
      </c>
      <c r="B14" s="2" t="inlineStr">
        <is>
          <t>Fin Fase 1</t>
        </is>
      </c>
      <c r="C14" s="2" t="inlineStr">
        <is>
          <t>Juan David Polo Herrera</t>
        </is>
      </c>
      <c r="D14" s="2" t="n">
        <v>8</v>
      </c>
      <c r="E14" s="2" t="n">
        <v>8</v>
      </c>
      <c r="F14" s="2">
        <f>0</f>
        <v/>
      </c>
      <c r="G14" s="2" t="n">
        <v>0</v>
      </c>
      <c r="H14" s="2" t="inlineStr">
        <is>
          <t>1.2.8, 1.2.9</t>
        </is>
      </c>
    </row>
    <row r="15" ht="30" customHeight="1">
      <c r="A15" s="3" t="inlineStr">
        <is>
          <t>1.3.1</t>
        </is>
      </c>
      <c r="B15" s="3" t="inlineStr">
        <is>
          <t>Análisis de selección de SO</t>
        </is>
      </c>
      <c r="C15" s="3" t="inlineStr">
        <is>
          <t>Juan Miguel Ramos</t>
        </is>
      </c>
      <c r="D15" s="3" t="n">
        <v>9</v>
      </c>
      <c r="E15" s="3" t="n">
        <v>9</v>
      </c>
      <c r="F15" s="3">
        <f>E15-D15+1</f>
        <v/>
      </c>
      <c r="G15" s="3" t="n">
        <v>8</v>
      </c>
      <c r="H15" s="3" t="inlineStr">
        <is>
          <t>H1</t>
        </is>
      </c>
    </row>
    <row r="16" ht="30" customHeight="1">
      <c r="A16" s="2" t="inlineStr">
        <is>
          <t>1.3.2</t>
        </is>
      </c>
      <c r="B16" s="2" t="inlineStr">
        <is>
          <t>Implementación de la VM</t>
        </is>
      </c>
      <c r="C16" s="2" t="inlineStr">
        <is>
          <t>Juan Miguel Ramos</t>
        </is>
      </c>
      <c r="D16" s="2" t="n">
        <v>10</v>
      </c>
      <c r="E16" s="2" t="n">
        <v>10</v>
      </c>
      <c r="F16" s="2">
        <f>E16-D16+1</f>
        <v/>
      </c>
      <c r="G16" s="2" t="n">
        <v>16</v>
      </c>
      <c r="H16" s="2" t="inlineStr">
        <is>
          <t>1.3.1</t>
        </is>
      </c>
    </row>
    <row r="17" ht="30" customHeight="1">
      <c r="A17" s="3" t="inlineStr">
        <is>
          <t>1.3.3</t>
        </is>
      </c>
      <c r="B17" s="3" t="inlineStr">
        <is>
          <t>Análisis de selección de RDBMS</t>
        </is>
      </c>
      <c r="C17" s="3" t="inlineStr">
        <is>
          <t>Juan David Polo Herrera</t>
        </is>
      </c>
      <c r="D17" s="3" t="n">
        <v>9</v>
      </c>
      <c r="E17" s="3" t="n">
        <v>9</v>
      </c>
      <c r="F17" s="3">
        <f>E17-D17+1</f>
        <v/>
      </c>
      <c r="G17" s="3" t="n">
        <v>8</v>
      </c>
      <c r="H17" s="3" t="inlineStr">
        <is>
          <t>H1</t>
        </is>
      </c>
    </row>
    <row r="18" ht="30" customHeight="1">
      <c r="A18" s="2" t="inlineStr">
        <is>
          <t>1.3.4</t>
        </is>
      </c>
      <c r="B18" s="2" t="inlineStr">
        <is>
          <t>Instalación del RDBMS</t>
        </is>
      </c>
      <c r="C18" s="2" t="inlineStr">
        <is>
          <t>Juan David Polo Herrera</t>
        </is>
      </c>
      <c r="D18" s="2" t="n">
        <v>11</v>
      </c>
      <c r="E18" s="2" t="n">
        <v>11</v>
      </c>
      <c r="F18" s="2">
        <f>E18-D18+1</f>
        <v/>
      </c>
      <c r="G18" s="2" t="n">
        <v>12</v>
      </c>
      <c r="H18" s="2" t="inlineStr">
        <is>
          <t>1.3.2, 1.3.3</t>
        </is>
      </c>
    </row>
    <row r="19" ht="30" customHeight="1">
      <c r="A19" s="3" t="inlineStr">
        <is>
          <t>1.3.5</t>
        </is>
      </c>
      <c r="B19" s="3" t="inlineStr">
        <is>
          <t>Scripts DDL/DML/varios y README</t>
        </is>
      </c>
      <c r="C19" s="3" t="inlineStr">
        <is>
          <t>Juan David Polo Herrera</t>
        </is>
      </c>
      <c r="D19" s="3" t="n">
        <v>12</v>
      </c>
      <c r="E19" s="3" t="n">
        <v>12</v>
      </c>
      <c r="F19" s="3">
        <f>E19-D19+1</f>
        <v/>
      </c>
      <c r="G19" s="3" t="n">
        <v>32</v>
      </c>
      <c r="H19" s="3" t="inlineStr">
        <is>
          <t>1.3.4</t>
        </is>
      </c>
    </row>
    <row r="20" ht="30" customHeight="1">
      <c r="A20" s="2" t="inlineStr">
        <is>
          <t>1.3.6</t>
        </is>
      </c>
      <c r="B20" s="2" t="inlineStr">
        <is>
          <t>Conexión de la aplicación web</t>
        </is>
      </c>
      <c r="C20" s="2" t="inlineStr">
        <is>
          <t>Juan Miguel Ramos</t>
        </is>
      </c>
      <c r="D20" s="2" t="n">
        <v>13</v>
      </c>
      <c r="E20" s="2" t="n">
        <v>13</v>
      </c>
      <c r="F20" s="2">
        <f>E20-D20+1</f>
        <v/>
      </c>
      <c r="G20" s="2" t="n">
        <v>24</v>
      </c>
      <c r="H20" s="2" t="inlineStr">
        <is>
          <t>1.3.5</t>
        </is>
      </c>
    </row>
    <row r="21" ht="30" customHeight="1">
      <c r="A21" s="3" t="inlineStr">
        <is>
          <t>1.3.7</t>
        </is>
      </c>
      <c r="B21" s="3" t="inlineStr">
        <is>
          <t>Repositorio Git y GitHub</t>
        </is>
      </c>
      <c r="C21" s="3" t="inlineStr">
        <is>
          <t>Juan David Polo Herrera</t>
        </is>
      </c>
      <c r="D21" s="3" t="n">
        <v>1</v>
      </c>
      <c r="E21" s="3" t="n">
        <v>13</v>
      </c>
      <c r="F21" s="3">
        <f>E21-D21+1</f>
        <v/>
      </c>
      <c r="G21" s="3" t="n">
        <v>13</v>
      </c>
      <c r="H21" s="3" t="inlineStr"/>
    </row>
    <row r="22" ht="30" customHeight="1">
      <c r="A22" s="2" t="inlineStr">
        <is>
          <t>1.3.8</t>
        </is>
      </c>
      <c r="B22" s="2" t="inlineStr">
        <is>
          <t>Video de demostración</t>
        </is>
      </c>
      <c r="C22" s="2" t="inlineStr">
        <is>
          <t>Juan Miguel Ramos</t>
        </is>
      </c>
      <c r="D22" s="2" t="n">
        <v>13</v>
      </c>
      <c r="E22" s="2" t="n">
        <v>13</v>
      </c>
      <c r="F22" s="2">
        <f>E22-D22+1</f>
        <v/>
      </c>
      <c r="G22" s="2" t="n">
        <v>8</v>
      </c>
      <c r="H22" s="2" t="inlineStr">
        <is>
          <t>1.3.5</t>
        </is>
      </c>
    </row>
    <row r="23" ht="30" customHeight="1">
      <c r="A23" s="3" t="inlineStr">
        <is>
          <t>H2</t>
        </is>
      </c>
      <c r="B23" s="3" t="inlineStr">
        <is>
          <t>Fin Fase 2</t>
        </is>
      </c>
      <c r="C23" s="3" t="inlineStr">
        <is>
          <t>Juan David Polo Herrera</t>
        </is>
      </c>
      <c r="D23" s="3" t="n">
        <v>13</v>
      </c>
      <c r="E23" s="3" t="n">
        <v>13</v>
      </c>
      <c r="F23" s="3">
        <f>0</f>
        <v/>
      </c>
      <c r="G23" s="3" t="n">
        <v>0</v>
      </c>
      <c r="H23" s="3" t="inlineStr">
        <is>
          <t>1.3.6, 1.3.7, 1.3.8</t>
        </is>
      </c>
    </row>
    <row r="24" ht="30" customHeight="1">
      <c r="A24" s="2" t="inlineStr">
        <is>
          <t>1.4.1</t>
        </is>
      </c>
      <c r="B24" s="2" t="inlineStr">
        <is>
          <t>Sustentación y aceptación</t>
        </is>
      </c>
      <c r="C24" s="2" t="inlineStr">
        <is>
          <t>Sebastián Castellanos Parra</t>
        </is>
      </c>
      <c r="D24" s="2" t="n">
        <v>14</v>
      </c>
      <c r="E24" s="2" t="n">
        <v>14</v>
      </c>
      <c r="F24" s="2">
        <f>E24-D24+1</f>
        <v/>
      </c>
      <c r="G24" s="2" t="n">
        <v>8</v>
      </c>
      <c r="H24" s="2" t="inlineStr">
        <is>
          <t>H2</t>
        </is>
      </c>
    </row>
    <row r="25" ht="30" customHeight="1">
      <c r="A25" s="3" t="inlineStr">
        <is>
          <t>1.4.2</t>
        </is>
      </c>
      <c r="B25" s="3" t="inlineStr">
        <is>
          <t>Acta de cierre</t>
        </is>
      </c>
      <c r="C25" s="3" t="inlineStr">
        <is>
          <t>Juan David Polo Herrera</t>
        </is>
      </c>
      <c r="D25" s="3" t="n">
        <v>14</v>
      </c>
      <c r="E25" s="3" t="n">
        <v>14</v>
      </c>
      <c r="F25" s="3">
        <f>E25-D25+1</f>
        <v/>
      </c>
      <c r="G25" s="3" t="n">
        <v>8</v>
      </c>
      <c r="H25" s="3" t="inlineStr">
        <is>
          <t>H2</t>
        </is>
      </c>
    </row>
    <row r="26" ht="30" customHeight="1">
      <c r="A26" s="2" t="inlineStr">
        <is>
          <t>H3</t>
        </is>
      </c>
      <c r="B26" s="2" t="inlineStr">
        <is>
          <t>Cierre del proyecto</t>
        </is>
      </c>
      <c r="C26" s="2" t="inlineStr">
        <is>
          <t>Juan David Polo Herrera</t>
        </is>
      </c>
      <c r="D26" s="2" t="n">
        <v>14</v>
      </c>
      <c r="E26" s="2" t="n">
        <v>14</v>
      </c>
      <c r="F26" s="2">
        <f>0</f>
        <v/>
      </c>
      <c r="G26" s="2" t="n">
        <v>0</v>
      </c>
      <c r="H26" s="2" t="inlineStr">
        <is>
          <t>1.4.1, 1.4.2</t>
        </is>
      </c>
    </row>
    <row r="27" ht="30" customHeight="1">
      <c r="A27" s="3" t="inlineStr"/>
      <c r="B27" s="3" t="inlineStr">
        <is>
          <t>Total de horas</t>
        </is>
      </c>
      <c r="C27" s="3" t="inlineStr"/>
      <c r="D27" s="3" t="inlineStr"/>
      <c r="E27" s="3" t="inlineStr"/>
      <c r="F27" s="3" t="inlineStr"/>
      <c r="G27" s="3">
        <f>SUM(G2:G26)</f>
        <v/>
      </c>
      <c r="H27" s="3" t="inlineStr"/>
    </row>
  </sheetData>
  <autoFilter ref="A1:H26"/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34" customHeight="1">
      <c r="A1" s="1" t="inlineStr">
        <is>
          <t>ID EDT</t>
        </is>
      </c>
      <c r="B1" s="1" t="inlineStr">
        <is>
          <t>Actividad</t>
        </is>
      </c>
      <c r="C1" s="1" t="inlineStr">
        <is>
          <t>Semana 1</t>
        </is>
      </c>
      <c r="D1" s="1" t="inlineStr">
        <is>
          <t>Semana 2</t>
        </is>
      </c>
      <c r="E1" s="1" t="inlineStr">
        <is>
          <t>Semana 3</t>
        </is>
      </c>
      <c r="F1" s="1" t="inlineStr">
        <is>
          <t>Semana 4</t>
        </is>
      </c>
      <c r="G1" s="1" t="inlineStr">
        <is>
          <t>Semana 5</t>
        </is>
      </c>
      <c r="H1" s="1" t="inlineStr">
        <is>
          <t>Semana 6</t>
        </is>
      </c>
      <c r="I1" s="1" t="inlineStr">
        <is>
          <t>Semana 7</t>
        </is>
      </c>
      <c r="J1" s="1" t="inlineStr">
        <is>
          <t>Semana 8</t>
        </is>
      </c>
      <c r="K1" s="1" t="inlineStr">
        <is>
          <t>Semana 9</t>
        </is>
      </c>
      <c r="L1" s="1" t="inlineStr">
        <is>
          <t>Semana 10</t>
        </is>
      </c>
      <c r="M1" s="1" t="inlineStr">
        <is>
          <t>Semana 11</t>
        </is>
      </c>
      <c r="N1" s="1" t="inlineStr">
        <is>
          <t>Semana 12</t>
        </is>
      </c>
      <c r="O1" s="1" t="inlineStr">
        <is>
          <t>Semana 13</t>
        </is>
      </c>
      <c r="P1" s="1" t="inlineStr">
        <is>
          <t>Semana 14</t>
        </is>
      </c>
    </row>
    <row r="2" ht="30" customHeight="1">
      <c r="A2" s="2">
        <f>Tareas!A2</f>
        <v/>
      </c>
      <c r="B2" s="2">
        <f>Tareas!B2</f>
        <v/>
      </c>
      <c r="C2" s="4">
        <f>IF(AND(1&gt;=Tareas!$D2,1&lt;=Tareas!$E2),IF(Tareas!$G2=0,"◆","■"),"")</f>
        <v/>
      </c>
      <c r="D2" s="4">
        <f>IF(AND(2&gt;=Tareas!$D2,2&lt;=Tareas!$E2),IF(Tareas!$G2=0,"◆","■"),"")</f>
        <v/>
      </c>
      <c r="E2" s="4">
        <f>IF(AND(3&gt;=Tareas!$D2,3&lt;=Tareas!$E2),IF(Tareas!$G2=0,"◆","■"),"")</f>
        <v/>
      </c>
      <c r="F2" s="4">
        <f>IF(AND(4&gt;=Tareas!$D2,4&lt;=Tareas!$E2),IF(Tareas!$G2=0,"◆","■"),"")</f>
        <v/>
      </c>
      <c r="G2" s="4">
        <f>IF(AND(5&gt;=Tareas!$D2,5&lt;=Tareas!$E2),IF(Tareas!$G2=0,"◆","■"),"")</f>
        <v/>
      </c>
      <c r="H2" s="4">
        <f>IF(AND(6&gt;=Tareas!$D2,6&lt;=Tareas!$E2),IF(Tareas!$G2=0,"◆","■"),"")</f>
        <v/>
      </c>
      <c r="I2" s="4">
        <f>IF(AND(7&gt;=Tareas!$D2,7&lt;=Tareas!$E2),IF(Tareas!$G2=0,"◆","■"),"")</f>
        <v/>
      </c>
      <c r="J2" s="4">
        <f>IF(AND(8&gt;=Tareas!$D2,8&lt;=Tareas!$E2),IF(Tareas!$G2=0,"◆","■"),"")</f>
        <v/>
      </c>
      <c r="K2" s="4">
        <f>IF(AND(9&gt;=Tareas!$D2,9&lt;=Tareas!$E2),IF(Tareas!$G2=0,"◆","■"),"")</f>
        <v/>
      </c>
      <c r="L2" s="4">
        <f>IF(AND(10&gt;=Tareas!$D2,10&lt;=Tareas!$E2),IF(Tareas!$G2=0,"◆","■"),"")</f>
        <v/>
      </c>
      <c r="M2" s="4">
        <f>IF(AND(11&gt;=Tareas!$D2,11&lt;=Tareas!$E2),IF(Tareas!$G2=0,"◆","■"),"")</f>
        <v/>
      </c>
      <c r="N2" s="4">
        <f>IF(AND(12&gt;=Tareas!$D2,12&lt;=Tareas!$E2),IF(Tareas!$G2=0,"◆","■"),"")</f>
        <v/>
      </c>
      <c r="O2" s="4">
        <f>IF(AND(13&gt;=Tareas!$D2,13&lt;=Tareas!$E2),IF(Tareas!$G2=0,"◆","■"),"")</f>
        <v/>
      </c>
      <c r="P2" s="4">
        <f>IF(AND(14&gt;=Tareas!$D2,14&lt;=Tareas!$E2),IF(Tareas!$G2=0,"◆","■"),"")</f>
        <v/>
      </c>
    </row>
    <row r="3" ht="30" customHeight="1">
      <c r="A3" s="3">
        <f>Tareas!A3</f>
        <v/>
      </c>
      <c r="B3" s="3">
        <f>Tareas!B3</f>
        <v/>
      </c>
      <c r="C3" s="5">
        <f>IF(AND(1&gt;=Tareas!$D3,1&lt;=Tareas!$E3),IF(Tareas!$G3=0,"◆","■"),"")</f>
        <v/>
      </c>
      <c r="D3" s="5">
        <f>IF(AND(2&gt;=Tareas!$D3,2&lt;=Tareas!$E3),IF(Tareas!$G3=0,"◆","■"),"")</f>
        <v/>
      </c>
      <c r="E3" s="5">
        <f>IF(AND(3&gt;=Tareas!$D3,3&lt;=Tareas!$E3),IF(Tareas!$G3=0,"◆","■"),"")</f>
        <v/>
      </c>
      <c r="F3" s="5">
        <f>IF(AND(4&gt;=Tareas!$D3,4&lt;=Tareas!$E3),IF(Tareas!$G3=0,"◆","■"),"")</f>
        <v/>
      </c>
      <c r="G3" s="5">
        <f>IF(AND(5&gt;=Tareas!$D3,5&lt;=Tareas!$E3),IF(Tareas!$G3=0,"◆","■"),"")</f>
        <v/>
      </c>
      <c r="H3" s="5">
        <f>IF(AND(6&gt;=Tareas!$D3,6&lt;=Tareas!$E3),IF(Tareas!$G3=0,"◆","■"),"")</f>
        <v/>
      </c>
      <c r="I3" s="5">
        <f>IF(AND(7&gt;=Tareas!$D3,7&lt;=Tareas!$E3),IF(Tareas!$G3=0,"◆","■"),"")</f>
        <v/>
      </c>
      <c r="J3" s="5">
        <f>IF(AND(8&gt;=Tareas!$D3,8&lt;=Tareas!$E3),IF(Tareas!$G3=0,"◆","■"),"")</f>
        <v/>
      </c>
      <c r="K3" s="5">
        <f>IF(AND(9&gt;=Tareas!$D3,9&lt;=Tareas!$E3),IF(Tareas!$G3=0,"◆","■"),"")</f>
        <v/>
      </c>
      <c r="L3" s="5">
        <f>IF(AND(10&gt;=Tareas!$D3,10&lt;=Tareas!$E3),IF(Tareas!$G3=0,"◆","■"),"")</f>
        <v/>
      </c>
      <c r="M3" s="5">
        <f>IF(AND(11&gt;=Tareas!$D3,11&lt;=Tareas!$E3),IF(Tareas!$G3=0,"◆","■"),"")</f>
        <v/>
      </c>
      <c r="N3" s="5">
        <f>IF(AND(12&gt;=Tareas!$D3,12&lt;=Tareas!$E3),IF(Tareas!$G3=0,"◆","■"),"")</f>
        <v/>
      </c>
      <c r="O3" s="5">
        <f>IF(AND(13&gt;=Tareas!$D3,13&lt;=Tareas!$E3),IF(Tareas!$G3=0,"◆","■"),"")</f>
        <v/>
      </c>
      <c r="P3" s="5">
        <f>IF(AND(14&gt;=Tareas!$D3,14&lt;=Tareas!$E3),IF(Tareas!$G3=0,"◆","■"),"")</f>
        <v/>
      </c>
    </row>
    <row r="4" ht="30" customHeight="1">
      <c r="A4" s="2">
        <f>Tareas!A4</f>
        <v/>
      </c>
      <c r="B4" s="2">
        <f>Tareas!B4</f>
        <v/>
      </c>
      <c r="C4" s="4">
        <f>IF(AND(1&gt;=Tareas!$D4,1&lt;=Tareas!$E4),IF(Tareas!$G4=0,"◆","■"),"")</f>
        <v/>
      </c>
      <c r="D4" s="4">
        <f>IF(AND(2&gt;=Tareas!$D4,2&lt;=Tareas!$E4),IF(Tareas!$G4=0,"◆","■"),"")</f>
        <v/>
      </c>
      <c r="E4" s="4">
        <f>IF(AND(3&gt;=Tareas!$D4,3&lt;=Tareas!$E4),IF(Tareas!$G4=0,"◆","■"),"")</f>
        <v/>
      </c>
      <c r="F4" s="4">
        <f>IF(AND(4&gt;=Tareas!$D4,4&lt;=Tareas!$E4),IF(Tareas!$G4=0,"◆","■"),"")</f>
        <v/>
      </c>
      <c r="G4" s="4">
        <f>IF(AND(5&gt;=Tareas!$D4,5&lt;=Tareas!$E4),IF(Tareas!$G4=0,"◆","■"),"")</f>
        <v/>
      </c>
      <c r="H4" s="4">
        <f>IF(AND(6&gt;=Tareas!$D4,6&lt;=Tareas!$E4),IF(Tareas!$G4=0,"◆","■"),"")</f>
        <v/>
      </c>
      <c r="I4" s="4">
        <f>IF(AND(7&gt;=Tareas!$D4,7&lt;=Tareas!$E4),IF(Tareas!$G4=0,"◆","■"),"")</f>
        <v/>
      </c>
      <c r="J4" s="4">
        <f>IF(AND(8&gt;=Tareas!$D4,8&lt;=Tareas!$E4),IF(Tareas!$G4=0,"◆","■"),"")</f>
        <v/>
      </c>
      <c r="K4" s="4">
        <f>IF(AND(9&gt;=Tareas!$D4,9&lt;=Tareas!$E4),IF(Tareas!$G4=0,"◆","■"),"")</f>
        <v/>
      </c>
      <c r="L4" s="4">
        <f>IF(AND(10&gt;=Tareas!$D4,10&lt;=Tareas!$E4),IF(Tareas!$G4=0,"◆","■"),"")</f>
        <v/>
      </c>
      <c r="M4" s="4">
        <f>IF(AND(11&gt;=Tareas!$D4,11&lt;=Tareas!$E4),IF(Tareas!$G4=0,"◆","■"),"")</f>
        <v/>
      </c>
      <c r="N4" s="4">
        <f>IF(AND(12&gt;=Tareas!$D4,12&lt;=Tareas!$E4),IF(Tareas!$G4=0,"◆","■"),"")</f>
        <v/>
      </c>
      <c r="O4" s="4">
        <f>IF(AND(13&gt;=Tareas!$D4,13&lt;=Tareas!$E4),IF(Tareas!$G4=0,"◆","■"),"")</f>
        <v/>
      </c>
      <c r="P4" s="4">
        <f>IF(AND(14&gt;=Tareas!$D4,14&lt;=Tareas!$E4),IF(Tareas!$G4=0,"◆","■"),"")</f>
        <v/>
      </c>
    </row>
    <row r="5" ht="30" customHeight="1">
      <c r="A5" s="3">
        <f>Tareas!A5</f>
        <v/>
      </c>
      <c r="B5" s="3">
        <f>Tareas!B5</f>
        <v/>
      </c>
      <c r="C5" s="5">
        <f>IF(AND(1&gt;=Tareas!$D5,1&lt;=Tareas!$E5),IF(Tareas!$G5=0,"◆","■"),"")</f>
        <v/>
      </c>
      <c r="D5" s="5">
        <f>IF(AND(2&gt;=Tareas!$D5,2&lt;=Tareas!$E5),IF(Tareas!$G5=0,"◆","■"),"")</f>
        <v/>
      </c>
      <c r="E5" s="5">
        <f>IF(AND(3&gt;=Tareas!$D5,3&lt;=Tareas!$E5),IF(Tareas!$G5=0,"◆","■"),"")</f>
        <v/>
      </c>
      <c r="F5" s="5">
        <f>IF(AND(4&gt;=Tareas!$D5,4&lt;=Tareas!$E5),IF(Tareas!$G5=0,"◆","■"),"")</f>
        <v/>
      </c>
      <c r="G5" s="5">
        <f>IF(AND(5&gt;=Tareas!$D5,5&lt;=Tareas!$E5),IF(Tareas!$G5=0,"◆","■"),"")</f>
        <v/>
      </c>
      <c r="H5" s="5">
        <f>IF(AND(6&gt;=Tareas!$D5,6&lt;=Tareas!$E5),IF(Tareas!$G5=0,"◆","■"),"")</f>
        <v/>
      </c>
      <c r="I5" s="5">
        <f>IF(AND(7&gt;=Tareas!$D5,7&lt;=Tareas!$E5),IF(Tareas!$G5=0,"◆","■"),"")</f>
        <v/>
      </c>
      <c r="J5" s="5">
        <f>IF(AND(8&gt;=Tareas!$D5,8&lt;=Tareas!$E5),IF(Tareas!$G5=0,"◆","■"),"")</f>
        <v/>
      </c>
      <c r="K5" s="5">
        <f>IF(AND(9&gt;=Tareas!$D5,9&lt;=Tareas!$E5),IF(Tareas!$G5=0,"◆","■"),"")</f>
        <v/>
      </c>
      <c r="L5" s="5">
        <f>IF(AND(10&gt;=Tareas!$D5,10&lt;=Tareas!$E5),IF(Tareas!$G5=0,"◆","■"),"")</f>
        <v/>
      </c>
      <c r="M5" s="5">
        <f>IF(AND(11&gt;=Tareas!$D5,11&lt;=Tareas!$E5),IF(Tareas!$G5=0,"◆","■"),"")</f>
        <v/>
      </c>
      <c r="N5" s="5">
        <f>IF(AND(12&gt;=Tareas!$D5,12&lt;=Tareas!$E5),IF(Tareas!$G5=0,"◆","■"),"")</f>
        <v/>
      </c>
      <c r="O5" s="5">
        <f>IF(AND(13&gt;=Tareas!$D5,13&lt;=Tareas!$E5),IF(Tareas!$G5=0,"◆","■"),"")</f>
        <v/>
      </c>
      <c r="P5" s="5">
        <f>IF(AND(14&gt;=Tareas!$D5,14&lt;=Tareas!$E5),IF(Tareas!$G5=0,"◆","■"),"")</f>
        <v/>
      </c>
    </row>
    <row r="6" ht="30" customHeight="1">
      <c r="A6" s="2">
        <f>Tareas!A6</f>
        <v/>
      </c>
      <c r="B6" s="2">
        <f>Tareas!B6</f>
        <v/>
      </c>
      <c r="C6" s="4">
        <f>IF(AND(1&gt;=Tareas!$D6,1&lt;=Tareas!$E6),IF(Tareas!$G6=0,"◆","■"),"")</f>
        <v/>
      </c>
      <c r="D6" s="4">
        <f>IF(AND(2&gt;=Tareas!$D6,2&lt;=Tareas!$E6),IF(Tareas!$G6=0,"◆","■"),"")</f>
        <v/>
      </c>
      <c r="E6" s="4">
        <f>IF(AND(3&gt;=Tareas!$D6,3&lt;=Tareas!$E6),IF(Tareas!$G6=0,"◆","■"),"")</f>
        <v/>
      </c>
      <c r="F6" s="4">
        <f>IF(AND(4&gt;=Tareas!$D6,4&lt;=Tareas!$E6),IF(Tareas!$G6=0,"◆","■"),"")</f>
        <v/>
      </c>
      <c r="G6" s="4">
        <f>IF(AND(5&gt;=Tareas!$D6,5&lt;=Tareas!$E6),IF(Tareas!$G6=0,"◆","■"),"")</f>
        <v/>
      </c>
      <c r="H6" s="4">
        <f>IF(AND(6&gt;=Tareas!$D6,6&lt;=Tareas!$E6),IF(Tareas!$G6=0,"◆","■"),"")</f>
        <v/>
      </c>
      <c r="I6" s="4">
        <f>IF(AND(7&gt;=Tareas!$D6,7&lt;=Tareas!$E6),IF(Tareas!$G6=0,"◆","■"),"")</f>
        <v/>
      </c>
      <c r="J6" s="4">
        <f>IF(AND(8&gt;=Tareas!$D6,8&lt;=Tareas!$E6),IF(Tareas!$G6=0,"◆","■"),"")</f>
        <v/>
      </c>
      <c r="K6" s="4">
        <f>IF(AND(9&gt;=Tareas!$D6,9&lt;=Tareas!$E6),IF(Tareas!$G6=0,"◆","■"),"")</f>
        <v/>
      </c>
      <c r="L6" s="4">
        <f>IF(AND(10&gt;=Tareas!$D6,10&lt;=Tareas!$E6),IF(Tareas!$G6=0,"◆","■"),"")</f>
        <v/>
      </c>
      <c r="M6" s="4">
        <f>IF(AND(11&gt;=Tareas!$D6,11&lt;=Tareas!$E6),IF(Tareas!$G6=0,"◆","■"),"")</f>
        <v/>
      </c>
      <c r="N6" s="4">
        <f>IF(AND(12&gt;=Tareas!$D6,12&lt;=Tareas!$E6),IF(Tareas!$G6=0,"◆","■"),"")</f>
        <v/>
      </c>
      <c r="O6" s="4">
        <f>IF(AND(13&gt;=Tareas!$D6,13&lt;=Tareas!$E6),IF(Tareas!$G6=0,"◆","■"),"")</f>
        <v/>
      </c>
      <c r="P6" s="4">
        <f>IF(AND(14&gt;=Tareas!$D6,14&lt;=Tareas!$E6),IF(Tareas!$G6=0,"◆","■"),"")</f>
        <v/>
      </c>
    </row>
    <row r="7" ht="30" customHeight="1">
      <c r="A7" s="3">
        <f>Tareas!A7</f>
        <v/>
      </c>
      <c r="B7" s="3">
        <f>Tareas!B7</f>
        <v/>
      </c>
      <c r="C7" s="5">
        <f>IF(AND(1&gt;=Tareas!$D7,1&lt;=Tareas!$E7),IF(Tareas!$G7=0,"◆","■"),"")</f>
        <v/>
      </c>
      <c r="D7" s="5">
        <f>IF(AND(2&gt;=Tareas!$D7,2&lt;=Tareas!$E7),IF(Tareas!$G7=0,"◆","■"),"")</f>
        <v/>
      </c>
      <c r="E7" s="5">
        <f>IF(AND(3&gt;=Tareas!$D7,3&lt;=Tareas!$E7),IF(Tareas!$G7=0,"◆","■"),"")</f>
        <v/>
      </c>
      <c r="F7" s="5">
        <f>IF(AND(4&gt;=Tareas!$D7,4&lt;=Tareas!$E7),IF(Tareas!$G7=0,"◆","■"),"")</f>
        <v/>
      </c>
      <c r="G7" s="5">
        <f>IF(AND(5&gt;=Tareas!$D7,5&lt;=Tareas!$E7),IF(Tareas!$G7=0,"◆","■"),"")</f>
        <v/>
      </c>
      <c r="H7" s="5">
        <f>IF(AND(6&gt;=Tareas!$D7,6&lt;=Tareas!$E7),IF(Tareas!$G7=0,"◆","■"),"")</f>
        <v/>
      </c>
      <c r="I7" s="5">
        <f>IF(AND(7&gt;=Tareas!$D7,7&lt;=Tareas!$E7),IF(Tareas!$G7=0,"◆","■"),"")</f>
        <v/>
      </c>
      <c r="J7" s="5">
        <f>IF(AND(8&gt;=Tareas!$D7,8&lt;=Tareas!$E7),IF(Tareas!$G7=0,"◆","■"),"")</f>
        <v/>
      </c>
      <c r="K7" s="5">
        <f>IF(AND(9&gt;=Tareas!$D7,9&lt;=Tareas!$E7),IF(Tareas!$G7=0,"◆","■"),"")</f>
        <v/>
      </c>
      <c r="L7" s="5">
        <f>IF(AND(10&gt;=Tareas!$D7,10&lt;=Tareas!$E7),IF(Tareas!$G7=0,"◆","■"),"")</f>
        <v/>
      </c>
      <c r="M7" s="5">
        <f>IF(AND(11&gt;=Tareas!$D7,11&lt;=Tareas!$E7),IF(Tareas!$G7=0,"◆","■"),"")</f>
        <v/>
      </c>
      <c r="N7" s="5">
        <f>IF(AND(12&gt;=Tareas!$D7,12&lt;=Tareas!$E7),IF(Tareas!$G7=0,"◆","■"),"")</f>
        <v/>
      </c>
      <c r="O7" s="5">
        <f>IF(AND(13&gt;=Tareas!$D7,13&lt;=Tareas!$E7),IF(Tareas!$G7=0,"◆","■"),"")</f>
        <v/>
      </c>
      <c r="P7" s="5">
        <f>IF(AND(14&gt;=Tareas!$D7,14&lt;=Tareas!$E7),IF(Tareas!$G7=0,"◆","■"),"")</f>
        <v/>
      </c>
    </row>
    <row r="8" ht="30" customHeight="1">
      <c r="A8" s="2">
        <f>Tareas!A8</f>
        <v/>
      </c>
      <c r="B8" s="2">
        <f>Tareas!B8</f>
        <v/>
      </c>
      <c r="C8" s="4">
        <f>IF(AND(1&gt;=Tareas!$D8,1&lt;=Tareas!$E8),IF(Tareas!$G8=0,"◆","■"),"")</f>
        <v/>
      </c>
      <c r="D8" s="4">
        <f>IF(AND(2&gt;=Tareas!$D8,2&lt;=Tareas!$E8),IF(Tareas!$G8=0,"◆","■"),"")</f>
        <v/>
      </c>
      <c r="E8" s="4">
        <f>IF(AND(3&gt;=Tareas!$D8,3&lt;=Tareas!$E8),IF(Tareas!$G8=0,"◆","■"),"")</f>
        <v/>
      </c>
      <c r="F8" s="4">
        <f>IF(AND(4&gt;=Tareas!$D8,4&lt;=Tareas!$E8),IF(Tareas!$G8=0,"◆","■"),"")</f>
        <v/>
      </c>
      <c r="G8" s="4">
        <f>IF(AND(5&gt;=Tareas!$D8,5&lt;=Tareas!$E8),IF(Tareas!$G8=0,"◆","■"),"")</f>
        <v/>
      </c>
      <c r="H8" s="4">
        <f>IF(AND(6&gt;=Tareas!$D8,6&lt;=Tareas!$E8),IF(Tareas!$G8=0,"◆","■"),"")</f>
        <v/>
      </c>
      <c r="I8" s="4">
        <f>IF(AND(7&gt;=Tareas!$D8,7&lt;=Tareas!$E8),IF(Tareas!$G8=0,"◆","■"),"")</f>
        <v/>
      </c>
      <c r="J8" s="4">
        <f>IF(AND(8&gt;=Tareas!$D8,8&lt;=Tareas!$E8),IF(Tareas!$G8=0,"◆","■"),"")</f>
        <v/>
      </c>
      <c r="K8" s="4">
        <f>IF(AND(9&gt;=Tareas!$D8,9&lt;=Tareas!$E8),IF(Tareas!$G8=0,"◆","■"),"")</f>
        <v/>
      </c>
      <c r="L8" s="4">
        <f>IF(AND(10&gt;=Tareas!$D8,10&lt;=Tareas!$E8),IF(Tareas!$G8=0,"◆","■"),"")</f>
        <v/>
      </c>
      <c r="M8" s="4">
        <f>IF(AND(11&gt;=Tareas!$D8,11&lt;=Tareas!$E8),IF(Tareas!$G8=0,"◆","■"),"")</f>
        <v/>
      </c>
      <c r="N8" s="4">
        <f>IF(AND(12&gt;=Tareas!$D8,12&lt;=Tareas!$E8),IF(Tareas!$G8=0,"◆","■"),"")</f>
        <v/>
      </c>
      <c r="O8" s="4">
        <f>IF(AND(13&gt;=Tareas!$D8,13&lt;=Tareas!$E8),IF(Tareas!$G8=0,"◆","■"),"")</f>
        <v/>
      </c>
      <c r="P8" s="4">
        <f>IF(AND(14&gt;=Tareas!$D8,14&lt;=Tareas!$E8),IF(Tareas!$G8=0,"◆","■"),"")</f>
        <v/>
      </c>
    </row>
    <row r="9" ht="30" customHeight="1">
      <c r="A9" s="3">
        <f>Tareas!A9</f>
        <v/>
      </c>
      <c r="B9" s="3">
        <f>Tareas!B9</f>
        <v/>
      </c>
      <c r="C9" s="5">
        <f>IF(AND(1&gt;=Tareas!$D9,1&lt;=Tareas!$E9),IF(Tareas!$G9=0,"◆","■"),"")</f>
        <v/>
      </c>
      <c r="D9" s="5">
        <f>IF(AND(2&gt;=Tareas!$D9,2&lt;=Tareas!$E9),IF(Tareas!$G9=0,"◆","■"),"")</f>
        <v/>
      </c>
      <c r="E9" s="5">
        <f>IF(AND(3&gt;=Tareas!$D9,3&lt;=Tareas!$E9),IF(Tareas!$G9=0,"◆","■"),"")</f>
        <v/>
      </c>
      <c r="F9" s="5">
        <f>IF(AND(4&gt;=Tareas!$D9,4&lt;=Tareas!$E9),IF(Tareas!$G9=0,"◆","■"),"")</f>
        <v/>
      </c>
      <c r="G9" s="5">
        <f>IF(AND(5&gt;=Tareas!$D9,5&lt;=Tareas!$E9),IF(Tareas!$G9=0,"◆","■"),"")</f>
        <v/>
      </c>
      <c r="H9" s="5">
        <f>IF(AND(6&gt;=Tareas!$D9,6&lt;=Tareas!$E9),IF(Tareas!$G9=0,"◆","■"),"")</f>
        <v/>
      </c>
      <c r="I9" s="5">
        <f>IF(AND(7&gt;=Tareas!$D9,7&lt;=Tareas!$E9),IF(Tareas!$G9=0,"◆","■"),"")</f>
        <v/>
      </c>
      <c r="J9" s="5">
        <f>IF(AND(8&gt;=Tareas!$D9,8&lt;=Tareas!$E9),IF(Tareas!$G9=0,"◆","■"),"")</f>
        <v/>
      </c>
      <c r="K9" s="5">
        <f>IF(AND(9&gt;=Tareas!$D9,9&lt;=Tareas!$E9),IF(Tareas!$G9=0,"◆","■"),"")</f>
        <v/>
      </c>
      <c r="L9" s="5">
        <f>IF(AND(10&gt;=Tareas!$D9,10&lt;=Tareas!$E9),IF(Tareas!$G9=0,"◆","■"),"")</f>
        <v/>
      </c>
      <c r="M9" s="5">
        <f>IF(AND(11&gt;=Tareas!$D9,11&lt;=Tareas!$E9),IF(Tareas!$G9=0,"◆","■"),"")</f>
        <v/>
      </c>
      <c r="N9" s="5">
        <f>IF(AND(12&gt;=Tareas!$D9,12&lt;=Tareas!$E9),IF(Tareas!$G9=0,"◆","■"),"")</f>
        <v/>
      </c>
      <c r="O9" s="5">
        <f>IF(AND(13&gt;=Tareas!$D9,13&lt;=Tareas!$E9),IF(Tareas!$G9=0,"◆","■"),"")</f>
        <v/>
      </c>
      <c r="P9" s="5">
        <f>IF(AND(14&gt;=Tareas!$D9,14&lt;=Tareas!$E9),IF(Tareas!$G9=0,"◆","■"),"")</f>
        <v/>
      </c>
    </row>
    <row r="10" ht="30" customHeight="1">
      <c r="A10" s="2">
        <f>Tareas!A10</f>
        <v/>
      </c>
      <c r="B10" s="2">
        <f>Tareas!B10</f>
        <v/>
      </c>
      <c r="C10" s="4">
        <f>IF(AND(1&gt;=Tareas!$D10,1&lt;=Tareas!$E10),IF(Tareas!$G10=0,"◆","■"),"")</f>
        <v/>
      </c>
      <c r="D10" s="4">
        <f>IF(AND(2&gt;=Tareas!$D10,2&lt;=Tareas!$E10),IF(Tareas!$G10=0,"◆","■"),"")</f>
        <v/>
      </c>
      <c r="E10" s="4">
        <f>IF(AND(3&gt;=Tareas!$D10,3&lt;=Tareas!$E10),IF(Tareas!$G10=0,"◆","■"),"")</f>
        <v/>
      </c>
      <c r="F10" s="4">
        <f>IF(AND(4&gt;=Tareas!$D10,4&lt;=Tareas!$E10),IF(Tareas!$G10=0,"◆","■"),"")</f>
        <v/>
      </c>
      <c r="G10" s="4">
        <f>IF(AND(5&gt;=Tareas!$D10,5&lt;=Tareas!$E10),IF(Tareas!$G10=0,"◆","■"),"")</f>
        <v/>
      </c>
      <c r="H10" s="4">
        <f>IF(AND(6&gt;=Tareas!$D10,6&lt;=Tareas!$E10),IF(Tareas!$G10=0,"◆","■"),"")</f>
        <v/>
      </c>
      <c r="I10" s="4">
        <f>IF(AND(7&gt;=Tareas!$D10,7&lt;=Tareas!$E10),IF(Tareas!$G10=0,"◆","■"),"")</f>
        <v/>
      </c>
      <c r="J10" s="4">
        <f>IF(AND(8&gt;=Tareas!$D10,8&lt;=Tareas!$E10),IF(Tareas!$G10=0,"◆","■"),"")</f>
        <v/>
      </c>
      <c r="K10" s="4">
        <f>IF(AND(9&gt;=Tareas!$D10,9&lt;=Tareas!$E10),IF(Tareas!$G10=0,"◆","■"),"")</f>
        <v/>
      </c>
      <c r="L10" s="4">
        <f>IF(AND(10&gt;=Tareas!$D10,10&lt;=Tareas!$E10),IF(Tareas!$G10=0,"◆","■"),"")</f>
        <v/>
      </c>
      <c r="M10" s="4">
        <f>IF(AND(11&gt;=Tareas!$D10,11&lt;=Tareas!$E10),IF(Tareas!$G10=0,"◆","■"),"")</f>
        <v/>
      </c>
      <c r="N10" s="4">
        <f>IF(AND(12&gt;=Tareas!$D10,12&lt;=Tareas!$E10),IF(Tareas!$G10=0,"◆","■"),"")</f>
        <v/>
      </c>
      <c r="O10" s="4">
        <f>IF(AND(13&gt;=Tareas!$D10,13&lt;=Tareas!$E10),IF(Tareas!$G10=0,"◆","■"),"")</f>
        <v/>
      </c>
      <c r="P10" s="4">
        <f>IF(AND(14&gt;=Tareas!$D10,14&lt;=Tareas!$E10),IF(Tareas!$G10=0,"◆","■"),"")</f>
        <v/>
      </c>
    </row>
    <row r="11" ht="30" customHeight="1">
      <c r="A11" s="3">
        <f>Tareas!A11</f>
        <v/>
      </c>
      <c r="B11" s="3">
        <f>Tareas!B11</f>
        <v/>
      </c>
      <c r="C11" s="5">
        <f>IF(AND(1&gt;=Tareas!$D11,1&lt;=Tareas!$E11),IF(Tareas!$G11=0,"◆","■"),"")</f>
        <v/>
      </c>
      <c r="D11" s="5">
        <f>IF(AND(2&gt;=Tareas!$D11,2&lt;=Tareas!$E11),IF(Tareas!$G11=0,"◆","■"),"")</f>
        <v/>
      </c>
      <c r="E11" s="5">
        <f>IF(AND(3&gt;=Tareas!$D11,3&lt;=Tareas!$E11),IF(Tareas!$G11=0,"◆","■"),"")</f>
        <v/>
      </c>
      <c r="F11" s="5">
        <f>IF(AND(4&gt;=Tareas!$D11,4&lt;=Tareas!$E11),IF(Tareas!$G11=0,"◆","■"),"")</f>
        <v/>
      </c>
      <c r="G11" s="5">
        <f>IF(AND(5&gt;=Tareas!$D11,5&lt;=Tareas!$E11),IF(Tareas!$G11=0,"◆","■"),"")</f>
        <v/>
      </c>
      <c r="H11" s="5">
        <f>IF(AND(6&gt;=Tareas!$D11,6&lt;=Tareas!$E11),IF(Tareas!$G11=0,"◆","■"),"")</f>
        <v/>
      </c>
      <c r="I11" s="5">
        <f>IF(AND(7&gt;=Tareas!$D11,7&lt;=Tareas!$E11),IF(Tareas!$G11=0,"◆","■"),"")</f>
        <v/>
      </c>
      <c r="J11" s="5">
        <f>IF(AND(8&gt;=Tareas!$D11,8&lt;=Tareas!$E11),IF(Tareas!$G11=0,"◆","■"),"")</f>
        <v/>
      </c>
      <c r="K11" s="5">
        <f>IF(AND(9&gt;=Tareas!$D11,9&lt;=Tareas!$E11),IF(Tareas!$G11=0,"◆","■"),"")</f>
        <v/>
      </c>
      <c r="L11" s="5">
        <f>IF(AND(10&gt;=Tareas!$D11,10&lt;=Tareas!$E11),IF(Tareas!$G11=0,"◆","■"),"")</f>
        <v/>
      </c>
      <c r="M11" s="5">
        <f>IF(AND(11&gt;=Tareas!$D11,11&lt;=Tareas!$E11),IF(Tareas!$G11=0,"◆","■"),"")</f>
        <v/>
      </c>
      <c r="N11" s="5">
        <f>IF(AND(12&gt;=Tareas!$D11,12&lt;=Tareas!$E11),IF(Tareas!$G11=0,"◆","■"),"")</f>
        <v/>
      </c>
      <c r="O11" s="5">
        <f>IF(AND(13&gt;=Tareas!$D11,13&lt;=Tareas!$E11),IF(Tareas!$G11=0,"◆","■"),"")</f>
        <v/>
      </c>
      <c r="P11" s="5">
        <f>IF(AND(14&gt;=Tareas!$D11,14&lt;=Tareas!$E11),IF(Tareas!$G11=0,"◆","■"),"")</f>
        <v/>
      </c>
    </row>
    <row r="12" ht="30" customHeight="1">
      <c r="A12" s="2">
        <f>Tareas!A12</f>
        <v/>
      </c>
      <c r="B12" s="2">
        <f>Tareas!B12</f>
        <v/>
      </c>
      <c r="C12" s="4">
        <f>IF(AND(1&gt;=Tareas!$D12,1&lt;=Tareas!$E12),IF(Tareas!$G12=0,"◆","■"),"")</f>
        <v/>
      </c>
      <c r="D12" s="4">
        <f>IF(AND(2&gt;=Tareas!$D12,2&lt;=Tareas!$E12),IF(Tareas!$G12=0,"◆","■"),"")</f>
        <v/>
      </c>
      <c r="E12" s="4">
        <f>IF(AND(3&gt;=Tareas!$D12,3&lt;=Tareas!$E12),IF(Tareas!$G12=0,"◆","■"),"")</f>
        <v/>
      </c>
      <c r="F12" s="4">
        <f>IF(AND(4&gt;=Tareas!$D12,4&lt;=Tareas!$E12),IF(Tareas!$G12=0,"◆","■"),"")</f>
        <v/>
      </c>
      <c r="G12" s="4">
        <f>IF(AND(5&gt;=Tareas!$D12,5&lt;=Tareas!$E12),IF(Tareas!$G12=0,"◆","■"),"")</f>
        <v/>
      </c>
      <c r="H12" s="4">
        <f>IF(AND(6&gt;=Tareas!$D12,6&lt;=Tareas!$E12),IF(Tareas!$G12=0,"◆","■"),"")</f>
        <v/>
      </c>
      <c r="I12" s="4">
        <f>IF(AND(7&gt;=Tareas!$D12,7&lt;=Tareas!$E12),IF(Tareas!$G12=0,"◆","■"),"")</f>
        <v/>
      </c>
      <c r="J12" s="4">
        <f>IF(AND(8&gt;=Tareas!$D12,8&lt;=Tareas!$E12),IF(Tareas!$G12=0,"◆","■"),"")</f>
        <v/>
      </c>
      <c r="K12" s="4">
        <f>IF(AND(9&gt;=Tareas!$D12,9&lt;=Tareas!$E12),IF(Tareas!$G12=0,"◆","■"),"")</f>
        <v/>
      </c>
      <c r="L12" s="4">
        <f>IF(AND(10&gt;=Tareas!$D12,10&lt;=Tareas!$E12),IF(Tareas!$G12=0,"◆","■"),"")</f>
        <v/>
      </c>
      <c r="M12" s="4">
        <f>IF(AND(11&gt;=Tareas!$D12,11&lt;=Tareas!$E12),IF(Tareas!$G12=0,"◆","■"),"")</f>
        <v/>
      </c>
      <c r="N12" s="4">
        <f>IF(AND(12&gt;=Tareas!$D12,12&lt;=Tareas!$E12),IF(Tareas!$G12=0,"◆","■"),"")</f>
        <v/>
      </c>
      <c r="O12" s="4">
        <f>IF(AND(13&gt;=Tareas!$D12,13&lt;=Tareas!$E12),IF(Tareas!$G12=0,"◆","■"),"")</f>
        <v/>
      </c>
      <c r="P12" s="4">
        <f>IF(AND(14&gt;=Tareas!$D12,14&lt;=Tareas!$E12),IF(Tareas!$G12=0,"◆","■"),"")</f>
        <v/>
      </c>
    </row>
    <row r="13" ht="30" customHeight="1">
      <c r="A13" s="3">
        <f>Tareas!A13</f>
        <v/>
      </c>
      <c r="B13" s="3">
        <f>Tareas!B13</f>
        <v/>
      </c>
      <c r="C13" s="5">
        <f>IF(AND(1&gt;=Tareas!$D13,1&lt;=Tareas!$E13),IF(Tareas!$G13=0,"◆","■"),"")</f>
        <v/>
      </c>
      <c r="D13" s="5">
        <f>IF(AND(2&gt;=Tareas!$D13,2&lt;=Tareas!$E13),IF(Tareas!$G13=0,"◆","■"),"")</f>
        <v/>
      </c>
      <c r="E13" s="5">
        <f>IF(AND(3&gt;=Tareas!$D13,3&lt;=Tareas!$E13),IF(Tareas!$G13=0,"◆","■"),"")</f>
        <v/>
      </c>
      <c r="F13" s="5">
        <f>IF(AND(4&gt;=Tareas!$D13,4&lt;=Tareas!$E13),IF(Tareas!$G13=0,"◆","■"),"")</f>
        <v/>
      </c>
      <c r="G13" s="5">
        <f>IF(AND(5&gt;=Tareas!$D13,5&lt;=Tareas!$E13),IF(Tareas!$G13=0,"◆","■"),"")</f>
        <v/>
      </c>
      <c r="H13" s="5">
        <f>IF(AND(6&gt;=Tareas!$D13,6&lt;=Tareas!$E13),IF(Tareas!$G13=0,"◆","■"),"")</f>
        <v/>
      </c>
      <c r="I13" s="5">
        <f>IF(AND(7&gt;=Tareas!$D13,7&lt;=Tareas!$E13),IF(Tareas!$G13=0,"◆","■"),"")</f>
        <v/>
      </c>
      <c r="J13" s="5">
        <f>IF(AND(8&gt;=Tareas!$D13,8&lt;=Tareas!$E13),IF(Tareas!$G13=0,"◆","■"),"")</f>
        <v/>
      </c>
      <c r="K13" s="5">
        <f>IF(AND(9&gt;=Tareas!$D13,9&lt;=Tareas!$E13),IF(Tareas!$G13=0,"◆","■"),"")</f>
        <v/>
      </c>
      <c r="L13" s="5">
        <f>IF(AND(10&gt;=Tareas!$D13,10&lt;=Tareas!$E13),IF(Tareas!$G13=0,"◆","■"),"")</f>
        <v/>
      </c>
      <c r="M13" s="5">
        <f>IF(AND(11&gt;=Tareas!$D13,11&lt;=Tareas!$E13),IF(Tareas!$G13=0,"◆","■"),"")</f>
        <v/>
      </c>
      <c r="N13" s="5">
        <f>IF(AND(12&gt;=Tareas!$D13,12&lt;=Tareas!$E13),IF(Tareas!$G13=0,"◆","■"),"")</f>
        <v/>
      </c>
      <c r="O13" s="5">
        <f>IF(AND(13&gt;=Tareas!$D13,13&lt;=Tareas!$E13),IF(Tareas!$G13=0,"◆","■"),"")</f>
        <v/>
      </c>
      <c r="P13" s="5">
        <f>IF(AND(14&gt;=Tareas!$D13,14&lt;=Tareas!$E13),IF(Tareas!$G13=0,"◆","■"),"")</f>
        <v/>
      </c>
    </row>
    <row r="14" ht="30" customHeight="1">
      <c r="A14" s="2">
        <f>Tareas!A14</f>
        <v/>
      </c>
      <c r="B14" s="2">
        <f>Tareas!B14</f>
        <v/>
      </c>
      <c r="C14" s="4">
        <f>IF(AND(1&gt;=Tareas!$D14,1&lt;=Tareas!$E14),IF(Tareas!$G14=0,"◆","■"),"")</f>
        <v/>
      </c>
      <c r="D14" s="4">
        <f>IF(AND(2&gt;=Tareas!$D14,2&lt;=Tareas!$E14),IF(Tareas!$G14=0,"◆","■"),"")</f>
        <v/>
      </c>
      <c r="E14" s="4">
        <f>IF(AND(3&gt;=Tareas!$D14,3&lt;=Tareas!$E14),IF(Tareas!$G14=0,"◆","■"),"")</f>
        <v/>
      </c>
      <c r="F14" s="4">
        <f>IF(AND(4&gt;=Tareas!$D14,4&lt;=Tareas!$E14),IF(Tareas!$G14=0,"◆","■"),"")</f>
        <v/>
      </c>
      <c r="G14" s="4">
        <f>IF(AND(5&gt;=Tareas!$D14,5&lt;=Tareas!$E14),IF(Tareas!$G14=0,"◆","■"),"")</f>
        <v/>
      </c>
      <c r="H14" s="4">
        <f>IF(AND(6&gt;=Tareas!$D14,6&lt;=Tareas!$E14),IF(Tareas!$G14=0,"◆","■"),"")</f>
        <v/>
      </c>
      <c r="I14" s="4">
        <f>IF(AND(7&gt;=Tareas!$D14,7&lt;=Tareas!$E14),IF(Tareas!$G14=0,"◆","■"),"")</f>
        <v/>
      </c>
      <c r="J14" s="4">
        <f>IF(AND(8&gt;=Tareas!$D14,8&lt;=Tareas!$E14),IF(Tareas!$G14=0,"◆","■"),"")</f>
        <v/>
      </c>
      <c r="K14" s="4">
        <f>IF(AND(9&gt;=Tareas!$D14,9&lt;=Tareas!$E14),IF(Tareas!$G14=0,"◆","■"),"")</f>
        <v/>
      </c>
      <c r="L14" s="4">
        <f>IF(AND(10&gt;=Tareas!$D14,10&lt;=Tareas!$E14),IF(Tareas!$G14=0,"◆","■"),"")</f>
        <v/>
      </c>
      <c r="M14" s="4">
        <f>IF(AND(11&gt;=Tareas!$D14,11&lt;=Tareas!$E14),IF(Tareas!$G14=0,"◆","■"),"")</f>
        <v/>
      </c>
      <c r="N14" s="4">
        <f>IF(AND(12&gt;=Tareas!$D14,12&lt;=Tareas!$E14),IF(Tareas!$G14=0,"◆","■"),"")</f>
        <v/>
      </c>
      <c r="O14" s="4">
        <f>IF(AND(13&gt;=Tareas!$D14,13&lt;=Tareas!$E14),IF(Tareas!$G14=0,"◆","■"),"")</f>
        <v/>
      </c>
      <c r="P14" s="4">
        <f>IF(AND(14&gt;=Tareas!$D14,14&lt;=Tareas!$E14),IF(Tareas!$G14=0,"◆","■"),"")</f>
        <v/>
      </c>
    </row>
    <row r="15" ht="30" customHeight="1">
      <c r="A15" s="3">
        <f>Tareas!A15</f>
        <v/>
      </c>
      <c r="B15" s="3">
        <f>Tareas!B15</f>
        <v/>
      </c>
      <c r="C15" s="5">
        <f>IF(AND(1&gt;=Tareas!$D15,1&lt;=Tareas!$E15),IF(Tareas!$G15=0,"◆","■"),"")</f>
        <v/>
      </c>
      <c r="D15" s="5">
        <f>IF(AND(2&gt;=Tareas!$D15,2&lt;=Tareas!$E15),IF(Tareas!$G15=0,"◆","■"),"")</f>
        <v/>
      </c>
      <c r="E15" s="5">
        <f>IF(AND(3&gt;=Tareas!$D15,3&lt;=Tareas!$E15),IF(Tareas!$G15=0,"◆","■"),"")</f>
        <v/>
      </c>
      <c r="F15" s="5">
        <f>IF(AND(4&gt;=Tareas!$D15,4&lt;=Tareas!$E15),IF(Tareas!$G15=0,"◆","■"),"")</f>
        <v/>
      </c>
      <c r="G15" s="5">
        <f>IF(AND(5&gt;=Tareas!$D15,5&lt;=Tareas!$E15),IF(Tareas!$G15=0,"◆","■"),"")</f>
        <v/>
      </c>
      <c r="H15" s="5">
        <f>IF(AND(6&gt;=Tareas!$D15,6&lt;=Tareas!$E15),IF(Tareas!$G15=0,"◆","■"),"")</f>
        <v/>
      </c>
      <c r="I15" s="5">
        <f>IF(AND(7&gt;=Tareas!$D15,7&lt;=Tareas!$E15),IF(Tareas!$G15=0,"◆","■"),"")</f>
        <v/>
      </c>
      <c r="J15" s="5">
        <f>IF(AND(8&gt;=Tareas!$D15,8&lt;=Tareas!$E15),IF(Tareas!$G15=0,"◆","■"),"")</f>
        <v/>
      </c>
      <c r="K15" s="5">
        <f>IF(AND(9&gt;=Tareas!$D15,9&lt;=Tareas!$E15),IF(Tareas!$G15=0,"◆","■"),"")</f>
        <v/>
      </c>
      <c r="L15" s="5">
        <f>IF(AND(10&gt;=Tareas!$D15,10&lt;=Tareas!$E15),IF(Tareas!$G15=0,"◆","■"),"")</f>
        <v/>
      </c>
      <c r="M15" s="5">
        <f>IF(AND(11&gt;=Tareas!$D15,11&lt;=Tareas!$E15),IF(Tareas!$G15=0,"◆","■"),"")</f>
        <v/>
      </c>
      <c r="N15" s="5">
        <f>IF(AND(12&gt;=Tareas!$D15,12&lt;=Tareas!$E15),IF(Tareas!$G15=0,"◆","■"),"")</f>
        <v/>
      </c>
      <c r="O15" s="5">
        <f>IF(AND(13&gt;=Tareas!$D15,13&lt;=Tareas!$E15),IF(Tareas!$G15=0,"◆","■"),"")</f>
        <v/>
      </c>
      <c r="P15" s="5">
        <f>IF(AND(14&gt;=Tareas!$D15,14&lt;=Tareas!$E15),IF(Tareas!$G15=0,"◆","■"),"")</f>
        <v/>
      </c>
    </row>
    <row r="16" ht="30" customHeight="1">
      <c r="A16" s="2">
        <f>Tareas!A16</f>
        <v/>
      </c>
      <c r="B16" s="2">
        <f>Tareas!B16</f>
        <v/>
      </c>
      <c r="C16" s="4">
        <f>IF(AND(1&gt;=Tareas!$D16,1&lt;=Tareas!$E16),IF(Tareas!$G16=0,"◆","■"),"")</f>
        <v/>
      </c>
      <c r="D16" s="4">
        <f>IF(AND(2&gt;=Tareas!$D16,2&lt;=Tareas!$E16),IF(Tareas!$G16=0,"◆","■"),"")</f>
        <v/>
      </c>
      <c r="E16" s="4">
        <f>IF(AND(3&gt;=Tareas!$D16,3&lt;=Tareas!$E16),IF(Tareas!$G16=0,"◆","■"),"")</f>
        <v/>
      </c>
      <c r="F16" s="4">
        <f>IF(AND(4&gt;=Tareas!$D16,4&lt;=Tareas!$E16),IF(Tareas!$G16=0,"◆","■"),"")</f>
        <v/>
      </c>
      <c r="G16" s="4">
        <f>IF(AND(5&gt;=Tareas!$D16,5&lt;=Tareas!$E16),IF(Tareas!$G16=0,"◆","■"),"")</f>
        <v/>
      </c>
      <c r="H16" s="4">
        <f>IF(AND(6&gt;=Tareas!$D16,6&lt;=Tareas!$E16),IF(Tareas!$G16=0,"◆","■"),"")</f>
        <v/>
      </c>
      <c r="I16" s="4">
        <f>IF(AND(7&gt;=Tareas!$D16,7&lt;=Tareas!$E16),IF(Tareas!$G16=0,"◆","■"),"")</f>
        <v/>
      </c>
      <c r="J16" s="4">
        <f>IF(AND(8&gt;=Tareas!$D16,8&lt;=Tareas!$E16),IF(Tareas!$G16=0,"◆","■"),"")</f>
        <v/>
      </c>
      <c r="K16" s="4">
        <f>IF(AND(9&gt;=Tareas!$D16,9&lt;=Tareas!$E16),IF(Tareas!$G16=0,"◆","■"),"")</f>
        <v/>
      </c>
      <c r="L16" s="4">
        <f>IF(AND(10&gt;=Tareas!$D16,10&lt;=Tareas!$E16),IF(Tareas!$G16=0,"◆","■"),"")</f>
        <v/>
      </c>
      <c r="M16" s="4">
        <f>IF(AND(11&gt;=Tareas!$D16,11&lt;=Tareas!$E16),IF(Tareas!$G16=0,"◆","■"),"")</f>
        <v/>
      </c>
      <c r="N16" s="4">
        <f>IF(AND(12&gt;=Tareas!$D16,12&lt;=Tareas!$E16),IF(Tareas!$G16=0,"◆","■"),"")</f>
        <v/>
      </c>
      <c r="O16" s="4">
        <f>IF(AND(13&gt;=Tareas!$D16,13&lt;=Tareas!$E16),IF(Tareas!$G16=0,"◆","■"),"")</f>
        <v/>
      </c>
      <c r="P16" s="4">
        <f>IF(AND(14&gt;=Tareas!$D16,14&lt;=Tareas!$E16),IF(Tareas!$G16=0,"◆","■"),"")</f>
        <v/>
      </c>
    </row>
    <row r="17" ht="30" customHeight="1">
      <c r="A17" s="3">
        <f>Tareas!A17</f>
        <v/>
      </c>
      <c r="B17" s="3">
        <f>Tareas!B17</f>
        <v/>
      </c>
      <c r="C17" s="5">
        <f>IF(AND(1&gt;=Tareas!$D17,1&lt;=Tareas!$E17),IF(Tareas!$G17=0,"◆","■"),"")</f>
        <v/>
      </c>
      <c r="D17" s="5">
        <f>IF(AND(2&gt;=Tareas!$D17,2&lt;=Tareas!$E17),IF(Tareas!$G17=0,"◆","■"),"")</f>
        <v/>
      </c>
      <c r="E17" s="5">
        <f>IF(AND(3&gt;=Tareas!$D17,3&lt;=Tareas!$E17),IF(Tareas!$G17=0,"◆","■"),"")</f>
        <v/>
      </c>
      <c r="F17" s="5">
        <f>IF(AND(4&gt;=Tareas!$D17,4&lt;=Tareas!$E17),IF(Tareas!$G17=0,"◆","■"),"")</f>
        <v/>
      </c>
      <c r="G17" s="5">
        <f>IF(AND(5&gt;=Tareas!$D17,5&lt;=Tareas!$E17),IF(Tareas!$G17=0,"◆","■"),"")</f>
        <v/>
      </c>
      <c r="H17" s="5">
        <f>IF(AND(6&gt;=Tareas!$D17,6&lt;=Tareas!$E17),IF(Tareas!$G17=0,"◆","■"),"")</f>
        <v/>
      </c>
      <c r="I17" s="5">
        <f>IF(AND(7&gt;=Tareas!$D17,7&lt;=Tareas!$E17),IF(Tareas!$G17=0,"◆","■"),"")</f>
        <v/>
      </c>
      <c r="J17" s="5">
        <f>IF(AND(8&gt;=Tareas!$D17,8&lt;=Tareas!$E17),IF(Tareas!$G17=0,"◆","■"),"")</f>
        <v/>
      </c>
      <c r="K17" s="5">
        <f>IF(AND(9&gt;=Tareas!$D17,9&lt;=Tareas!$E17),IF(Tareas!$G17=0,"◆","■"),"")</f>
        <v/>
      </c>
      <c r="L17" s="5">
        <f>IF(AND(10&gt;=Tareas!$D17,10&lt;=Tareas!$E17),IF(Tareas!$G17=0,"◆","■"),"")</f>
        <v/>
      </c>
      <c r="M17" s="5">
        <f>IF(AND(11&gt;=Tareas!$D17,11&lt;=Tareas!$E17),IF(Tareas!$G17=0,"◆","■"),"")</f>
        <v/>
      </c>
      <c r="N17" s="5">
        <f>IF(AND(12&gt;=Tareas!$D17,12&lt;=Tareas!$E17),IF(Tareas!$G17=0,"◆","■"),"")</f>
        <v/>
      </c>
      <c r="O17" s="5">
        <f>IF(AND(13&gt;=Tareas!$D17,13&lt;=Tareas!$E17),IF(Tareas!$G17=0,"◆","■"),"")</f>
        <v/>
      </c>
      <c r="P17" s="5">
        <f>IF(AND(14&gt;=Tareas!$D17,14&lt;=Tareas!$E17),IF(Tareas!$G17=0,"◆","■"),"")</f>
        <v/>
      </c>
    </row>
    <row r="18" ht="30" customHeight="1">
      <c r="A18" s="2">
        <f>Tareas!A18</f>
        <v/>
      </c>
      <c r="B18" s="2">
        <f>Tareas!B18</f>
        <v/>
      </c>
      <c r="C18" s="4">
        <f>IF(AND(1&gt;=Tareas!$D18,1&lt;=Tareas!$E18),IF(Tareas!$G18=0,"◆","■"),"")</f>
        <v/>
      </c>
      <c r="D18" s="4">
        <f>IF(AND(2&gt;=Tareas!$D18,2&lt;=Tareas!$E18),IF(Tareas!$G18=0,"◆","■"),"")</f>
        <v/>
      </c>
      <c r="E18" s="4">
        <f>IF(AND(3&gt;=Tareas!$D18,3&lt;=Tareas!$E18),IF(Tareas!$G18=0,"◆","■"),"")</f>
        <v/>
      </c>
      <c r="F18" s="4">
        <f>IF(AND(4&gt;=Tareas!$D18,4&lt;=Tareas!$E18),IF(Tareas!$G18=0,"◆","■"),"")</f>
        <v/>
      </c>
      <c r="G18" s="4">
        <f>IF(AND(5&gt;=Tareas!$D18,5&lt;=Tareas!$E18),IF(Tareas!$G18=0,"◆","■"),"")</f>
        <v/>
      </c>
      <c r="H18" s="4">
        <f>IF(AND(6&gt;=Tareas!$D18,6&lt;=Tareas!$E18),IF(Tareas!$G18=0,"◆","■"),"")</f>
        <v/>
      </c>
      <c r="I18" s="4">
        <f>IF(AND(7&gt;=Tareas!$D18,7&lt;=Tareas!$E18),IF(Tareas!$G18=0,"◆","■"),"")</f>
        <v/>
      </c>
      <c r="J18" s="4">
        <f>IF(AND(8&gt;=Tareas!$D18,8&lt;=Tareas!$E18),IF(Tareas!$G18=0,"◆","■"),"")</f>
        <v/>
      </c>
      <c r="K18" s="4">
        <f>IF(AND(9&gt;=Tareas!$D18,9&lt;=Tareas!$E18),IF(Tareas!$G18=0,"◆","■"),"")</f>
        <v/>
      </c>
      <c r="L18" s="4">
        <f>IF(AND(10&gt;=Tareas!$D18,10&lt;=Tareas!$E18),IF(Tareas!$G18=0,"◆","■"),"")</f>
        <v/>
      </c>
      <c r="M18" s="4">
        <f>IF(AND(11&gt;=Tareas!$D18,11&lt;=Tareas!$E18),IF(Tareas!$G18=0,"◆","■"),"")</f>
        <v/>
      </c>
      <c r="N18" s="4">
        <f>IF(AND(12&gt;=Tareas!$D18,12&lt;=Tareas!$E18),IF(Tareas!$G18=0,"◆","■"),"")</f>
        <v/>
      </c>
      <c r="O18" s="4">
        <f>IF(AND(13&gt;=Tareas!$D18,13&lt;=Tareas!$E18),IF(Tareas!$G18=0,"◆","■"),"")</f>
        <v/>
      </c>
      <c r="P18" s="4">
        <f>IF(AND(14&gt;=Tareas!$D18,14&lt;=Tareas!$E18),IF(Tareas!$G18=0,"◆","■"),"")</f>
        <v/>
      </c>
    </row>
    <row r="19" ht="30" customHeight="1">
      <c r="A19" s="3">
        <f>Tareas!A19</f>
        <v/>
      </c>
      <c r="B19" s="3">
        <f>Tareas!B19</f>
        <v/>
      </c>
      <c r="C19" s="5">
        <f>IF(AND(1&gt;=Tareas!$D19,1&lt;=Tareas!$E19),IF(Tareas!$G19=0,"◆","■"),"")</f>
        <v/>
      </c>
      <c r="D19" s="5">
        <f>IF(AND(2&gt;=Tareas!$D19,2&lt;=Tareas!$E19),IF(Tareas!$G19=0,"◆","■"),"")</f>
        <v/>
      </c>
      <c r="E19" s="5">
        <f>IF(AND(3&gt;=Tareas!$D19,3&lt;=Tareas!$E19),IF(Tareas!$G19=0,"◆","■"),"")</f>
        <v/>
      </c>
      <c r="F19" s="5">
        <f>IF(AND(4&gt;=Tareas!$D19,4&lt;=Tareas!$E19),IF(Tareas!$G19=0,"◆","■"),"")</f>
        <v/>
      </c>
      <c r="G19" s="5">
        <f>IF(AND(5&gt;=Tareas!$D19,5&lt;=Tareas!$E19),IF(Tareas!$G19=0,"◆","■"),"")</f>
        <v/>
      </c>
      <c r="H19" s="5">
        <f>IF(AND(6&gt;=Tareas!$D19,6&lt;=Tareas!$E19),IF(Tareas!$G19=0,"◆","■"),"")</f>
        <v/>
      </c>
      <c r="I19" s="5">
        <f>IF(AND(7&gt;=Tareas!$D19,7&lt;=Tareas!$E19),IF(Tareas!$G19=0,"◆","■"),"")</f>
        <v/>
      </c>
      <c r="J19" s="5">
        <f>IF(AND(8&gt;=Tareas!$D19,8&lt;=Tareas!$E19),IF(Tareas!$G19=0,"◆","■"),"")</f>
        <v/>
      </c>
      <c r="K19" s="5">
        <f>IF(AND(9&gt;=Tareas!$D19,9&lt;=Tareas!$E19),IF(Tareas!$G19=0,"◆","■"),"")</f>
        <v/>
      </c>
      <c r="L19" s="5">
        <f>IF(AND(10&gt;=Tareas!$D19,10&lt;=Tareas!$E19),IF(Tareas!$G19=0,"◆","■"),"")</f>
        <v/>
      </c>
      <c r="M19" s="5">
        <f>IF(AND(11&gt;=Tareas!$D19,11&lt;=Tareas!$E19),IF(Tareas!$G19=0,"◆","■"),"")</f>
        <v/>
      </c>
      <c r="N19" s="5">
        <f>IF(AND(12&gt;=Tareas!$D19,12&lt;=Tareas!$E19),IF(Tareas!$G19=0,"◆","■"),"")</f>
        <v/>
      </c>
      <c r="O19" s="5">
        <f>IF(AND(13&gt;=Tareas!$D19,13&lt;=Tareas!$E19),IF(Tareas!$G19=0,"◆","■"),"")</f>
        <v/>
      </c>
      <c r="P19" s="5">
        <f>IF(AND(14&gt;=Tareas!$D19,14&lt;=Tareas!$E19),IF(Tareas!$G19=0,"◆","■"),"")</f>
        <v/>
      </c>
    </row>
    <row r="20" ht="30" customHeight="1">
      <c r="A20" s="2">
        <f>Tareas!A20</f>
        <v/>
      </c>
      <c r="B20" s="2">
        <f>Tareas!B20</f>
        <v/>
      </c>
      <c r="C20" s="4">
        <f>IF(AND(1&gt;=Tareas!$D20,1&lt;=Tareas!$E20),IF(Tareas!$G20=0,"◆","■"),"")</f>
        <v/>
      </c>
      <c r="D20" s="4">
        <f>IF(AND(2&gt;=Tareas!$D20,2&lt;=Tareas!$E20),IF(Tareas!$G20=0,"◆","■"),"")</f>
        <v/>
      </c>
      <c r="E20" s="4">
        <f>IF(AND(3&gt;=Tareas!$D20,3&lt;=Tareas!$E20),IF(Tareas!$G20=0,"◆","■"),"")</f>
        <v/>
      </c>
      <c r="F20" s="4">
        <f>IF(AND(4&gt;=Tareas!$D20,4&lt;=Tareas!$E20),IF(Tareas!$G20=0,"◆","■"),"")</f>
        <v/>
      </c>
      <c r="G20" s="4">
        <f>IF(AND(5&gt;=Tareas!$D20,5&lt;=Tareas!$E20),IF(Tareas!$G20=0,"◆","■"),"")</f>
        <v/>
      </c>
      <c r="H20" s="4">
        <f>IF(AND(6&gt;=Tareas!$D20,6&lt;=Tareas!$E20),IF(Tareas!$G20=0,"◆","■"),"")</f>
        <v/>
      </c>
      <c r="I20" s="4">
        <f>IF(AND(7&gt;=Tareas!$D20,7&lt;=Tareas!$E20),IF(Tareas!$G20=0,"◆","■"),"")</f>
        <v/>
      </c>
      <c r="J20" s="4">
        <f>IF(AND(8&gt;=Tareas!$D20,8&lt;=Tareas!$E20),IF(Tareas!$G20=0,"◆","■"),"")</f>
        <v/>
      </c>
      <c r="K20" s="4">
        <f>IF(AND(9&gt;=Tareas!$D20,9&lt;=Tareas!$E20),IF(Tareas!$G20=0,"◆","■"),"")</f>
        <v/>
      </c>
      <c r="L20" s="4">
        <f>IF(AND(10&gt;=Tareas!$D20,10&lt;=Tareas!$E20),IF(Tareas!$G20=0,"◆","■"),"")</f>
        <v/>
      </c>
      <c r="M20" s="4">
        <f>IF(AND(11&gt;=Tareas!$D20,11&lt;=Tareas!$E20),IF(Tareas!$G20=0,"◆","■"),"")</f>
        <v/>
      </c>
      <c r="N20" s="4">
        <f>IF(AND(12&gt;=Tareas!$D20,12&lt;=Tareas!$E20),IF(Tareas!$G20=0,"◆","■"),"")</f>
        <v/>
      </c>
      <c r="O20" s="4">
        <f>IF(AND(13&gt;=Tareas!$D20,13&lt;=Tareas!$E20),IF(Tareas!$G20=0,"◆","■"),"")</f>
        <v/>
      </c>
      <c r="P20" s="4">
        <f>IF(AND(14&gt;=Tareas!$D20,14&lt;=Tareas!$E20),IF(Tareas!$G20=0,"◆","■"),"")</f>
        <v/>
      </c>
    </row>
    <row r="21" ht="30" customHeight="1">
      <c r="A21" s="3">
        <f>Tareas!A21</f>
        <v/>
      </c>
      <c r="B21" s="3">
        <f>Tareas!B21</f>
        <v/>
      </c>
      <c r="C21" s="5">
        <f>IF(AND(1&gt;=Tareas!$D21,1&lt;=Tareas!$E21),IF(Tareas!$G21=0,"◆","■"),"")</f>
        <v/>
      </c>
      <c r="D21" s="5">
        <f>IF(AND(2&gt;=Tareas!$D21,2&lt;=Tareas!$E21),IF(Tareas!$G21=0,"◆","■"),"")</f>
        <v/>
      </c>
      <c r="E21" s="5">
        <f>IF(AND(3&gt;=Tareas!$D21,3&lt;=Tareas!$E21),IF(Tareas!$G21=0,"◆","■"),"")</f>
        <v/>
      </c>
      <c r="F21" s="5">
        <f>IF(AND(4&gt;=Tareas!$D21,4&lt;=Tareas!$E21),IF(Tareas!$G21=0,"◆","■"),"")</f>
        <v/>
      </c>
      <c r="G21" s="5">
        <f>IF(AND(5&gt;=Tareas!$D21,5&lt;=Tareas!$E21),IF(Tareas!$G21=0,"◆","■"),"")</f>
        <v/>
      </c>
      <c r="H21" s="5">
        <f>IF(AND(6&gt;=Tareas!$D21,6&lt;=Tareas!$E21),IF(Tareas!$G21=0,"◆","■"),"")</f>
        <v/>
      </c>
      <c r="I21" s="5">
        <f>IF(AND(7&gt;=Tareas!$D21,7&lt;=Tareas!$E21),IF(Tareas!$G21=0,"◆","■"),"")</f>
        <v/>
      </c>
      <c r="J21" s="5">
        <f>IF(AND(8&gt;=Tareas!$D21,8&lt;=Tareas!$E21),IF(Tareas!$G21=0,"◆","■"),"")</f>
        <v/>
      </c>
      <c r="K21" s="5">
        <f>IF(AND(9&gt;=Tareas!$D21,9&lt;=Tareas!$E21),IF(Tareas!$G21=0,"◆","■"),"")</f>
        <v/>
      </c>
      <c r="L21" s="5">
        <f>IF(AND(10&gt;=Tareas!$D21,10&lt;=Tareas!$E21),IF(Tareas!$G21=0,"◆","■"),"")</f>
        <v/>
      </c>
      <c r="M21" s="5">
        <f>IF(AND(11&gt;=Tareas!$D21,11&lt;=Tareas!$E21),IF(Tareas!$G21=0,"◆","■"),"")</f>
        <v/>
      </c>
      <c r="N21" s="5">
        <f>IF(AND(12&gt;=Tareas!$D21,12&lt;=Tareas!$E21),IF(Tareas!$G21=0,"◆","■"),"")</f>
        <v/>
      </c>
      <c r="O21" s="5">
        <f>IF(AND(13&gt;=Tareas!$D21,13&lt;=Tareas!$E21),IF(Tareas!$G21=0,"◆","■"),"")</f>
        <v/>
      </c>
      <c r="P21" s="5">
        <f>IF(AND(14&gt;=Tareas!$D21,14&lt;=Tareas!$E21),IF(Tareas!$G21=0,"◆","■"),"")</f>
        <v/>
      </c>
    </row>
    <row r="22" ht="30" customHeight="1">
      <c r="A22" s="2">
        <f>Tareas!A22</f>
        <v/>
      </c>
      <c r="B22" s="2">
        <f>Tareas!B22</f>
        <v/>
      </c>
      <c r="C22" s="4">
        <f>IF(AND(1&gt;=Tareas!$D22,1&lt;=Tareas!$E22),IF(Tareas!$G22=0,"◆","■"),"")</f>
        <v/>
      </c>
      <c r="D22" s="4">
        <f>IF(AND(2&gt;=Tareas!$D22,2&lt;=Tareas!$E22),IF(Tareas!$G22=0,"◆","■"),"")</f>
        <v/>
      </c>
      <c r="E22" s="4">
        <f>IF(AND(3&gt;=Tareas!$D22,3&lt;=Tareas!$E22),IF(Tareas!$G22=0,"◆","■"),"")</f>
        <v/>
      </c>
      <c r="F22" s="4">
        <f>IF(AND(4&gt;=Tareas!$D22,4&lt;=Tareas!$E22),IF(Tareas!$G22=0,"◆","■"),"")</f>
        <v/>
      </c>
      <c r="G22" s="4">
        <f>IF(AND(5&gt;=Tareas!$D22,5&lt;=Tareas!$E22),IF(Tareas!$G22=0,"◆","■"),"")</f>
        <v/>
      </c>
      <c r="H22" s="4">
        <f>IF(AND(6&gt;=Tareas!$D22,6&lt;=Tareas!$E22),IF(Tareas!$G22=0,"◆","■"),"")</f>
        <v/>
      </c>
      <c r="I22" s="4">
        <f>IF(AND(7&gt;=Tareas!$D22,7&lt;=Tareas!$E22),IF(Tareas!$G22=0,"◆","■"),"")</f>
        <v/>
      </c>
      <c r="J22" s="4">
        <f>IF(AND(8&gt;=Tareas!$D22,8&lt;=Tareas!$E22),IF(Tareas!$G22=0,"◆","■"),"")</f>
        <v/>
      </c>
      <c r="K22" s="4">
        <f>IF(AND(9&gt;=Tareas!$D22,9&lt;=Tareas!$E22),IF(Tareas!$G22=0,"◆","■"),"")</f>
        <v/>
      </c>
      <c r="L22" s="4">
        <f>IF(AND(10&gt;=Tareas!$D22,10&lt;=Tareas!$E22),IF(Tareas!$G22=0,"◆","■"),"")</f>
        <v/>
      </c>
      <c r="M22" s="4">
        <f>IF(AND(11&gt;=Tareas!$D22,11&lt;=Tareas!$E22),IF(Tareas!$G22=0,"◆","■"),"")</f>
        <v/>
      </c>
      <c r="N22" s="4">
        <f>IF(AND(12&gt;=Tareas!$D22,12&lt;=Tareas!$E22),IF(Tareas!$G22=0,"◆","■"),"")</f>
        <v/>
      </c>
      <c r="O22" s="4">
        <f>IF(AND(13&gt;=Tareas!$D22,13&lt;=Tareas!$E22),IF(Tareas!$G22=0,"◆","■"),"")</f>
        <v/>
      </c>
      <c r="P22" s="4">
        <f>IF(AND(14&gt;=Tareas!$D22,14&lt;=Tareas!$E22),IF(Tareas!$G22=0,"◆","■"),"")</f>
        <v/>
      </c>
    </row>
    <row r="23" ht="30" customHeight="1">
      <c r="A23" s="3">
        <f>Tareas!A23</f>
        <v/>
      </c>
      <c r="B23" s="3">
        <f>Tareas!B23</f>
        <v/>
      </c>
      <c r="C23" s="5">
        <f>IF(AND(1&gt;=Tareas!$D23,1&lt;=Tareas!$E23),IF(Tareas!$G23=0,"◆","■"),"")</f>
        <v/>
      </c>
      <c r="D23" s="5">
        <f>IF(AND(2&gt;=Tareas!$D23,2&lt;=Tareas!$E23),IF(Tareas!$G23=0,"◆","■"),"")</f>
        <v/>
      </c>
      <c r="E23" s="5">
        <f>IF(AND(3&gt;=Tareas!$D23,3&lt;=Tareas!$E23),IF(Tareas!$G23=0,"◆","■"),"")</f>
        <v/>
      </c>
      <c r="F23" s="5">
        <f>IF(AND(4&gt;=Tareas!$D23,4&lt;=Tareas!$E23),IF(Tareas!$G23=0,"◆","■"),"")</f>
        <v/>
      </c>
      <c r="G23" s="5">
        <f>IF(AND(5&gt;=Tareas!$D23,5&lt;=Tareas!$E23),IF(Tareas!$G23=0,"◆","■"),"")</f>
        <v/>
      </c>
      <c r="H23" s="5">
        <f>IF(AND(6&gt;=Tareas!$D23,6&lt;=Tareas!$E23),IF(Tareas!$G23=0,"◆","■"),"")</f>
        <v/>
      </c>
      <c r="I23" s="5">
        <f>IF(AND(7&gt;=Tareas!$D23,7&lt;=Tareas!$E23),IF(Tareas!$G23=0,"◆","■"),"")</f>
        <v/>
      </c>
      <c r="J23" s="5">
        <f>IF(AND(8&gt;=Tareas!$D23,8&lt;=Tareas!$E23),IF(Tareas!$G23=0,"◆","■"),"")</f>
        <v/>
      </c>
      <c r="K23" s="5">
        <f>IF(AND(9&gt;=Tareas!$D23,9&lt;=Tareas!$E23),IF(Tareas!$G23=0,"◆","■"),"")</f>
        <v/>
      </c>
      <c r="L23" s="5">
        <f>IF(AND(10&gt;=Tareas!$D23,10&lt;=Tareas!$E23),IF(Tareas!$G23=0,"◆","■"),"")</f>
        <v/>
      </c>
      <c r="M23" s="5">
        <f>IF(AND(11&gt;=Tareas!$D23,11&lt;=Tareas!$E23),IF(Tareas!$G23=0,"◆","■"),"")</f>
        <v/>
      </c>
      <c r="N23" s="5">
        <f>IF(AND(12&gt;=Tareas!$D23,12&lt;=Tareas!$E23),IF(Tareas!$G23=0,"◆","■"),"")</f>
        <v/>
      </c>
      <c r="O23" s="5">
        <f>IF(AND(13&gt;=Tareas!$D23,13&lt;=Tareas!$E23),IF(Tareas!$G23=0,"◆","■"),"")</f>
        <v/>
      </c>
      <c r="P23" s="5">
        <f>IF(AND(14&gt;=Tareas!$D23,14&lt;=Tareas!$E23),IF(Tareas!$G23=0,"◆","■"),"")</f>
        <v/>
      </c>
    </row>
    <row r="24" ht="30" customHeight="1">
      <c r="A24" s="2">
        <f>Tareas!A24</f>
        <v/>
      </c>
      <c r="B24" s="2">
        <f>Tareas!B24</f>
        <v/>
      </c>
      <c r="C24" s="4">
        <f>IF(AND(1&gt;=Tareas!$D24,1&lt;=Tareas!$E24),IF(Tareas!$G24=0,"◆","■"),"")</f>
        <v/>
      </c>
      <c r="D24" s="4">
        <f>IF(AND(2&gt;=Tareas!$D24,2&lt;=Tareas!$E24),IF(Tareas!$G24=0,"◆","■"),"")</f>
        <v/>
      </c>
      <c r="E24" s="4">
        <f>IF(AND(3&gt;=Tareas!$D24,3&lt;=Tareas!$E24),IF(Tareas!$G24=0,"◆","■"),"")</f>
        <v/>
      </c>
      <c r="F24" s="4">
        <f>IF(AND(4&gt;=Tareas!$D24,4&lt;=Tareas!$E24),IF(Tareas!$G24=0,"◆","■"),"")</f>
        <v/>
      </c>
      <c r="G24" s="4">
        <f>IF(AND(5&gt;=Tareas!$D24,5&lt;=Tareas!$E24),IF(Tareas!$G24=0,"◆","■"),"")</f>
        <v/>
      </c>
      <c r="H24" s="4">
        <f>IF(AND(6&gt;=Tareas!$D24,6&lt;=Tareas!$E24),IF(Tareas!$G24=0,"◆","■"),"")</f>
        <v/>
      </c>
      <c r="I24" s="4">
        <f>IF(AND(7&gt;=Tareas!$D24,7&lt;=Tareas!$E24),IF(Tareas!$G24=0,"◆","■"),"")</f>
        <v/>
      </c>
      <c r="J24" s="4">
        <f>IF(AND(8&gt;=Tareas!$D24,8&lt;=Tareas!$E24),IF(Tareas!$G24=0,"◆","■"),"")</f>
        <v/>
      </c>
      <c r="K24" s="4">
        <f>IF(AND(9&gt;=Tareas!$D24,9&lt;=Tareas!$E24),IF(Tareas!$G24=0,"◆","■"),"")</f>
        <v/>
      </c>
      <c r="L24" s="4">
        <f>IF(AND(10&gt;=Tareas!$D24,10&lt;=Tareas!$E24),IF(Tareas!$G24=0,"◆","■"),"")</f>
        <v/>
      </c>
      <c r="M24" s="4">
        <f>IF(AND(11&gt;=Tareas!$D24,11&lt;=Tareas!$E24),IF(Tareas!$G24=0,"◆","■"),"")</f>
        <v/>
      </c>
      <c r="N24" s="4">
        <f>IF(AND(12&gt;=Tareas!$D24,12&lt;=Tareas!$E24),IF(Tareas!$G24=0,"◆","■"),"")</f>
        <v/>
      </c>
      <c r="O24" s="4">
        <f>IF(AND(13&gt;=Tareas!$D24,13&lt;=Tareas!$E24),IF(Tareas!$G24=0,"◆","■"),"")</f>
        <v/>
      </c>
      <c r="P24" s="4">
        <f>IF(AND(14&gt;=Tareas!$D24,14&lt;=Tareas!$E24),IF(Tareas!$G24=0,"◆","■"),"")</f>
        <v/>
      </c>
    </row>
    <row r="25" ht="30" customHeight="1">
      <c r="A25" s="3">
        <f>Tareas!A25</f>
        <v/>
      </c>
      <c r="B25" s="3">
        <f>Tareas!B25</f>
        <v/>
      </c>
      <c r="C25" s="5">
        <f>IF(AND(1&gt;=Tareas!$D25,1&lt;=Tareas!$E25),IF(Tareas!$G25=0,"◆","■"),"")</f>
        <v/>
      </c>
      <c r="D25" s="5">
        <f>IF(AND(2&gt;=Tareas!$D25,2&lt;=Tareas!$E25),IF(Tareas!$G25=0,"◆","■"),"")</f>
        <v/>
      </c>
      <c r="E25" s="5">
        <f>IF(AND(3&gt;=Tareas!$D25,3&lt;=Tareas!$E25),IF(Tareas!$G25=0,"◆","■"),"")</f>
        <v/>
      </c>
      <c r="F25" s="5">
        <f>IF(AND(4&gt;=Tareas!$D25,4&lt;=Tareas!$E25),IF(Tareas!$G25=0,"◆","■"),"")</f>
        <v/>
      </c>
      <c r="G25" s="5">
        <f>IF(AND(5&gt;=Tareas!$D25,5&lt;=Tareas!$E25),IF(Tareas!$G25=0,"◆","■"),"")</f>
        <v/>
      </c>
      <c r="H25" s="5">
        <f>IF(AND(6&gt;=Tareas!$D25,6&lt;=Tareas!$E25),IF(Tareas!$G25=0,"◆","■"),"")</f>
        <v/>
      </c>
      <c r="I25" s="5">
        <f>IF(AND(7&gt;=Tareas!$D25,7&lt;=Tareas!$E25),IF(Tareas!$G25=0,"◆","■"),"")</f>
        <v/>
      </c>
      <c r="J25" s="5">
        <f>IF(AND(8&gt;=Tareas!$D25,8&lt;=Tareas!$E25),IF(Tareas!$G25=0,"◆","■"),"")</f>
        <v/>
      </c>
      <c r="K25" s="5">
        <f>IF(AND(9&gt;=Tareas!$D25,9&lt;=Tareas!$E25),IF(Tareas!$G25=0,"◆","■"),"")</f>
        <v/>
      </c>
      <c r="L25" s="5">
        <f>IF(AND(10&gt;=Tareas!$D25,10&lt;=Tareas!$E25),IF(Tareas!$G25=0,"◆","■"),"")</f>
        <v/>
      </c>
      <c r="M25" s="5">
        <f>IF(AND(11&gt;=Tareas!$D25,11&lt;=Tareas!$E25),IF(Tareas!$G25=0,"◆","■"),"")</f>
        <v/>
      </c>
      <c r="N25" s="5">
        <f>IF(AND(12&gt;=Tareas!$D25,12&lt;=Tareas!$E25),IF(Tareas!$G25=0,"◆","■"),"")</f>
        <v/>
      </c>
      <c r="O25" s="5">
        <f>IF(AND(13&gt;=Tareas!$D25,13&lt;=Tareas!$E25),IF(Tareas!$G25=0,"◆","■"),"")</f>
        <v/>
      </c>
      <c r="P25" s="5">
        <f>IF(AND(14&gt;=Tareas!$D25,14&lt;=Tareas!$E25),IF(Tareas!$G25=0,"◆","■"),"")</f>
        <v/>
      </c>
    </row>
    <row r="26" ht="30" customHeight="1">
      <c r="A26" s="2">
        <f>Tareas!A26</f>
        <v/>
      </c>
      <c r="B26" s="2">
        <f>Tareas!B26</f>
        <v/>
      </c>
      <c r="C26" s="4">
        <f>IF(AND(1&gt;=Tareas!$D26,1&lt;=Tareas!$E26),IF(Tareas!$G26=0,"◆","■"),"")</f>
        <v/>
      </c>
      <c r="D26" s="4">
        <f>IF(AND(2&gt;=Tareas!$D26,2&lt;=Tareas!$E26),IF(Tareas!$G26=0,"◆","■"),"")</f>
        <v/>
      </c>
      <c r="E26" s="4">
        <f>IF(AND(3&gt;=Tareas!$D26,3&lt;=Tareas!$E26),IF(Tareas!$G26=0,"◆","■"),"")</f>
        <v/>
      </c>
      <c r="F26" s="4">
        <f>IF(AND(4&gt;=Tareas!$D26,4&lt;=Tareas!$E26),IF(Tareas!$G26=0,"◆","■"),"")</f>
        <v/>
      </c>
      <c r="G26" s="4">
        <f>IF(AND(5&gt;=Tareas!$D26,5&lt;=Tareas!$E26),IF(Tareas!$G26=0,"◆","■"),"")</f>
        <v/>
      </c>
      <c r="H26" s="4">
        <f>IF(AND(6&gt;=Tareas!$D26,6&lt;=Tareas!$E26),IF(Tareas!$G26=0,"◆","■"),"")</f>
        <v/>
      </c>
      <c r="I26" s="4">
        <f>IF(AND(7&gt;=Tareas!$D26,7&lt;=Tareas!$E26),IF(Tareas!$G26=0,"◆","■"),"")</f>
        <v/>
      </c>
      <c r="J26" s="4">
        <f>IF(AND(8&gt;=Tareas!$D26,8&lt;=Tareas!$E26),IF(Tareas!$G26=0,"◆","■"),"")</f>
        <v/>
      </c>
      <c r="K26" s="4">
        <f>IF(AND(9&gt;=Tareas!$D26,9&lt;=Tareas!$E26),IF(Tareas!$G26=0,"◆","■"),"")</f>
        <v/>
      </c>
      <c r="L26" s="4">
        <f>IF(AND(10&gt;=Tareas!$D26,10&lt;=Tareas!$E26),IF(Tareas!$G26=0,"◆","■"),"")</f>
        <v/>
      </c>
      <c r="M26" s="4">
        <f>IF(AND(11&gt;=Tareas!$D26,11&lt;=Tareas!$E26),IF(Tareas!$G26=0,"◆","■"),"")</f>
        <v/>
      </c>
      <c r="N26" s="4">
        <f>IF(AND(12&gt;=Tareas!$D26,12&lt;=Tareas!$E26),IF(Tareas!$G26=0,"◆","■"),"")</f>
        <v/>
      </c>
      <c r="O26" s="4">
        <f>IF(AND(13&gt;=Tareas!$D26,13&lt;=Tareas!$E26),IF(Tareas!$G26=0,"◆","■"),"")</f>
        <v/>
      </c>
      <c r="P26" s="4">
        <f>IF(AND(14&gt;=Tareas!$D26,14&lt;=Tareas!$E26),IF(Tareas!$G26=0,"◆","■"),"")</f>
        <v/>
      </c>
    </row>
    <row r="27" ht="30" customHeight="1">
      <c r="A27" s="6" t="inlineStr">
        <is>
          <t>■</t>
        </is>
      </c>
      <c r="B27" s="3" t="inlineStr">
        <is>
          <t>Juan David Polo Herrera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 ht="30" customHeight="1">
      <c r="A28" s="7" t="inlineStr">
        <is>
          <t>■</t>
        </is>
      </c>
      <c r="B28" s="2" t="inlineStr">
        <is>
          <t>Sebastián Castellanos Parra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30" customHeight="1">
      <c r="A29" s="8" t="inlineStr">
        <is>
          <t>■</t>
        </is>
      </c>
      <c r="B29" s="3" t="inlineStr">
        <is>
          <t>Juan Miguel Ramos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 ht="30" customHeight="1">
      <c r="A30" s="2" t="inlineStr">
        <is>
          <t>◆</t>
        </is>
      </c>
      <c r="B30" s="2" t="inlineStr">
        <is>
          <t>Hito sin duración ni esfuerzo adicional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</sheetData>
  <autoFilter ref="A1:P26"/>
  <conditionalFormatting sqref="C2:P2">
    <cfRule type="expression" priority="1" dxfId="0">
      <formula>C2="■"</formula>
    </cfRule>
    <cfRule type="expression" priority="2" dxfId="1">
      <formula>C2="◆"</formula>
    </cfRule>
  </conditionalFormatting>
  <conditionalFormatting sqref="C3:P3">
    <cfRule type="expression" priority="3" dxfId="2">
      <formula>C3="■"</formula>
    </cfRule>
    <cfRule type="expression" priority="4" dxfId="1">
      <formula>C3="◆"</formula>
    </cfRule>
  </conditionalFormatting>
  <conditionalFormatting sqref="C4:P4">
    <cfRule type="expression" priority="5" dxfId="0">
      <formula>C4="■"</formula>
    </cfRule>
    <cfRule type="expression" priority="6" dxfId="1">
      <formula>C4="◆"</formula>
    </cfRule>
  </conditionalFormatting>
  <conditionalFormatting sqref="C5:P5">
    <cfRule type="expression" priority="7" dxfId="2">
      <formula>C5="■"</formula>
    </cfRule>
    <cfRule type="expression" priority="8" dxfId="1">
      <formula>C5="◆"</formula>
    </cfRule>
  </conditionalFormatting>
  <conditionalFormatting sqref="C6:P6">
    <cfRule type="expression" priority="9" dxfId="2">
      <formula>C6="■"</formula>
    </cfRule>
    <cfRule type="expression" priority="10" dxfId="1">
      <formula>C6="◆"</formula>
    </cfRule>
  </conditionalFormatting>
  <conditionalFormatting sqref="C7:P7">
    <cfRule type="expression" priority="11" dxfId="2">
      <formula>C7="■"</formula>
    </cfRule>
    <cfRule type="expression" priority="12" dxfId="1">
      <formula>C7="◆"</formula>
    </cfRule>
  </conditionalFormatting>
  <conditionalFormatting sqref="C8:P8">
    <cfRule type="expression" priority="13" dxfId="2">
      <formula>C8="■"</formula>
    </cfRule>
    <cfRule type="expression" priority="14" dxfId="1">
      <formula>C8="◆"</formula>
    </cfRule>
  </conditionalFormatting>
  <conditionalFormatting sqref="C9:P9">
    <cfRule type="expression" priority="15" dxfId="2">
      <formula>C9="■"</formula>
    </cfRule>
    <cfRule type="expression" priority="16" dxfId="1">
      <formula>C9="◆"</formula>
    </cfRule>
  </conditionalFormatting>
  <conditionalFormatting sqref="C10:P10">
    <cfRule type="expression" priority="17" dxfId="0">
      <formula>C10="■"</formula>
    </cfRule>
    <cfRule type="expression" priority="18" dxfId="1">
      <formula>C10="◆"</formula>
    </cfRule>
  </conditionalFormatting>
  <conditionalFormatting sqref="C11:P11">
    <cfRule type="expression" priority="19" dxfId="0">
      <formula>C11="■"</formula>
    </cfRule>
    <cfRule type="expression" priority="20" dxfId="1">
      <formula>C11="◆"</formula>
    </cfRule>
  </conditionalFormatting>
  <conditionalFormatting sqref="C12:P12">
    <cfRule type="expression" priority="21" dxfId="2">
      <formula>C12="■"</formula>
    </cfRule>
    <cfRule type="expression" priority="22" dxfId="1">
      <formula>C12="◆"</formula>
    </cfRule>
  </conditionalFormatting>
  <conditionalFormatting sqref="C13:P13">
    <cfRule type="expression" priority="23" dxfId="3">
      <formula>C13="■"</formula>
    </cfRule>
    <cfRule type="expression" priority="24" dxfId="1">
      <formula>C13="◆"</formula>
    </cfRule>
  </conditionalFormatting>
  <conditionalFormatting sqref="C14:P14">
    <cfRule type="expression" priority="25" dxfId="0">
      <formula>C14="■"</formula>
    </cfRule>
    <cfRule type="expression" priority="26" dxfId="1">
      <formula>C14="◆"</formula>
    </cfRule>
  </conditionalFormatting>
  <conditionalFormatting sqref="C15:P15">
    <cfRule type="expression" priority="27" dxfId="3">
      <formula>C15="■"</formula>
    </cfRule>
    <cfRule type="expression" priority="28" dxfId="1">
      <formula>C15="◆"</formula>
    </cfRule>
  </conditionalFormatting>
  <conditionalFormatting sqref="C16:P16">
    <cfRule type="expression" priority="29" dxfId="3">
      <formula>C16="■"</formula>
    </cfRule>
    <cfRule type="expression" priority="30" dxfId="1">
      <formula>C16="◆"</formula>
    </cfRule>
  </conditionalFormatting>
  <conditionalFormatting sqref="C17:P17">
    <cfRule type="expression" priority="31" dxfId="0">
      <formula>C17="■"</formula>
    </cfRule>
    <cfRule type="expression" priority="32" dxfId="1">
      <formula>C17="◆"</formula>
    </cfRule>
  </conditionalFormatting>
  <conditionalFormatting sqref="C18:P18">
    <cfRule type="expression" priority="33" dxfId="0">
      <formula>C18="■"</formula>
    </cfRule>
    <cfRule type="expression" priority="34" dxfId="1">
      <formula>C18="◆"</formula>
    </cfRule>
  </conditionalFormatting>
  <conditionalFormatting sqref="C19:P19">
    <cfRule type="expression" priority="35" dxfId="0">
      <formula>C19="■"</formula>
    </cfRule>
    <cfRule type="expression" priority="36" dxfId="1">
      <formula>C19="◆"</formula>
    </cfRule>
  </conditionalFormatting>
  <conditionalFormatting sqref="C20:P20">
    <cfRule type="expression" priority="37" dxfId="3">
      <formula>C20="■"</formula>
    </cfRule>
    <cfRule type="expression" priority="38" dxfId="1">
      <formula>C20="◆"</formula>
    </cfRule>
  </conditionalFormatting>
  <conditionalFormatting sqref="C21:P21">
    <cfRule type="expression" priority="39" dxfId="0">
      <formula>C21="■"</formula>
    </cfRule>
    <cfRule type="expression" priority="40" dxfId="1">
      <formula>C21="◆"</formula>
    </cfRule>
  </conditionalFormatting>
  <conditionalFormatting sqref="C22:P22">
    <cfRule type="expression" priority="41" dxfId="3">
      <formula>C22="■"</formula>
    </cfRule>
    <cfRule type="expression" priority="42" dxfId="1">
      <formula>C22="◆"</formula>
    </cfRule>
  </conditionalFormatting>
  <conditionalFormatting sqref="C23:P23">
    <cfRule type="expression" priority="43" dxfId="0">
      <formula>C23="■"</formula>
    </cfRule>
    <cfRule type="expression" priority="44" dxfId="1">
      <formula>C23="◆"</formula>
    </cfRule>
  </conditionalFormatting>
  <conditionalFormatting sqref="C24:P24">
    <cfRule type="expression" priority="45" dxfId="2">
      <formula>C24="■"</formula>
    </cfRule>
    <cfRule type="expression" priority="46" dxfId="1">
      <formula>C24="◆"</formula>
    </cfRule>
  </conditionalFormatting>
  <conditionalFormatting sqref="C25:P25">
    <cfRule type="expression" priority="47" dxfId="0">
      <formula>C25="■"</formula>
    </cfRule>
    <cfRule type="expression" priority="48" dxfId="1">
      <formula>C25="◆"</formula>
    </cfRule>
  </conditionalFormatting>
  <conditionalFormatting sqref="C26:P26">
    <cfRule type="expression" priority="49" dxfId="0">
      <formula>C26="■"</formula>
    </cfRule>
    <cfRule type="expression" priority="50" dxfId="1">
      <formula>C26="◆"</formula>
    </cfRule>
  </conditionalFormatting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2026-10-21T17:14:59Z</dcterms:created>
  <dcterms:modified xmlns:dcterms="http://purl.org/dc/terms/" xmlns:xsi="http://www.w3.org/2001/XMLSchema-instance" xsi:type="dcterms:W3CDTF">2026-10-21T17:14:59Z</dcterms:modified>
</cp:coreProperties>
</file>